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w20\Desktop\vba_forms\"/>
    </mc:Choice>
  </mc:AlternateContent>
  <xr:revisionPtr revIDLastSave="0" documentId="13_ncr:1_{27DF1B72-E30E-40ED-9B74-FD0C087C2AF5}" xr6:coauthVersionLast="47" xr6:coauthVersionMax="47" xr10:uidLastSave="{00000000-0000-0000-0000-000000000000}"/>
  <bookViews>
    <workbookView xWindow="-103" yWindow="-103" windowWidth="33120" windowHeight="18720" xr2:uid="{3CB01A40-DD33-4B2A-944A-F5D8DDCF452A}"/>
  </bookViews>
  <sheets>
    <sheet name="charge_ticket" sheetId="2" r:id="rId1"/>
    <sheet name="referring_physicians" sheetId="4" r:id="rId2"/>
    <sheet name="diagnosis_codes" sheetId="5" r:id="rId3"/>
    <sheet name="premium_materials" sheetId="7" r:id="rId4"/>
    <sheet name="covered_materials" sheetId="6" r:id="rId5"/>
  </sheets>
  <functionGroups builtInGroupCount="19"/>
  <definedNames>
    <definedName name="_xlnm.Print_Area" localSheetId="0">charge_ticket!$A$1:$K$43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8" i="2" l="1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6" i="6"/>
  <c r="C7" i="6"/>
  <c r="C5" i="6"/>
  <c r="C4" i="6"/>
  <c r="C2" i="6"/>
  <c r="C3" i="6"/>
  <c r="G2" i="6"/>
  <c r="J43" i="2"/>
</calcChain>
</file>

<file path=xl/sharedStrings.xml><?xml version="1.0" encoding="utf-8"?>
<sst xmlns="http://schemas.openxmlformats.org/spreadsheetml/2006/main" count="281" uniqueCount="251">
  <si>
    <t>NOT A MEDICAL RECORD DOCUMENT</t>
  </si>
  <si>
    <t>________________________________________________________________________________________</t>
  </si>
  <si>
    <t>Total</t>
  </si>
  <si>
    <t>Fee</t>
  </si>
  <si>
    <t>Qty</t>
  </si>
  <si>
    <t>Description</t>
  </si>
  <si>
    <t>Modifier</t>
  </si>
  <si>
    <t>Code</t>
  </si>
  <si>
    <t>Prescription</t>
  </si>
  <si>
    <t>Claim type</t>
  </si>
  <si>
    <t>Insurance</t>
  </si>
  <si>
    <t>Joah Aliancy, MD</t>
  </si>
  <si>
    <t>Diagnosis</t>
  </si>
  <si>
    <t>Referring Physician</t>
  </si>
  <si>
    <t>Date:</t>
  </si>
  <si>
    <t>Ann Arbor Optical Shop</t>
  </si>
  <si>
    <t>H52.02 Hypermetropia, left eye</t>
  </si>
  <si>
    <t>Optical Charge Records</t>
  </si>
  <si>
    <t>Patient Name / Medical Record Number</t>
  </si>
  <si>
    <t>Ophthalmology and Visual Sciences</t>
  </si>
  <si>
    <t>UNIVERISTY OF MICHIGAN HOSPITALS &amp; HEALTH CENTERS</t>
  </si>
  <si>
    <t>Referring Physicians</t>
  </si>
  <si>
    <t>Steven M Archer, MD</t>
  </si>
  <si>
    <t>Stephen T Armenti, MD, PhD</t>
  </si>
  <si>
    <t>Cagri Giray Besirli, MD, PhD</t>
  </si>
  <si>
    <t>Amanda K Bicket, MD</t>
  </si>
  <si>
    <t>Jill Elizabeth Bixler, MD</t>
  </si>
  <si>
    <t>Brittany Ann Boland, OD</t>
  </si>
  <si>
    <t>Grant Michael Comer, MD, MS</t>
  </si>
  <si>
    <t>Theresa M Cooney, MD</t>
  </si>
  <si>
    <t>Wayne Todd Cornblath, MD</t>
  </si>
  <si>
    <t>Jara Alexa Crear, MD</t>
  </si>
  <si>
    <t>John Mark Cropsey, MD</t>
  </si>
  <si>
    <t>Sherry Huey Day, OD, FAAO</t>
  </si>
  <si>
    <t>Monte Anthony Del Monte, MD</t>
  </si>
  <si>
    <t>Karen Suzanne Deloss, OD, FAAO</t>
  </si>
  <si>
    <t>Lindsey Blake Delott, MD</t>
  </si>
  <si>
    <t>Hakan Demirci, MD</t>
  </si>
  <si>
    <t>Tatiana Deveney, MD</t>
  </si>
  <si>
    <t>Courtney Amanda Dewey, OD</t>
  </si>
  <si>
    <t>Joshua Robert Ehrlich, MD, MPH</t>
  </si>
  <si>
    <t>Angela Renee Elam, MD</t>
  </si>
  <si>
    <t>Susan Gail Elner, MD</t>
  </si>
  <si>
    <t>Victor Maurice Elner, MD, PhD</t>
  </si>
  <si>
    <t>Emily Ann Eton, MD</t>
  </si>
  <si>
    <t>Abigail Teich Fahim, MD, PhD</t>
  </si>
  <si>
    <t>Cherie A Farkash, OD</t>
  </si>
  <si>
    <t>Kevin C Firl, MD</t>
  </si>
  <si>
    <t>Carlton J Foster, OD</t>
  </si>
  <si>
    <t>Samantha Renee Gagnon, OD, FAAO</t>
  </si>
  <si>
    <t>Christopher Gappy, MD</t>
  </si>
  <si>
    <t>Thomas Wright Gardner, MD, MS</t>
  </si>
  <si>
    <t>Miles Greenwald, MD</t>
  </si>
  <si>
    <t>Paul James Grenier, OD</t>
  </si>
  <si>
    <t>Sean Owen Hansen, MD</t>
  </si>
  <si>
    <t>Allison Leigh Hickman, PA-C</t>
  </si>
  <si>
    <t>Christopher Thomas Hood, MD</t>
  </si>
  <si>
    <t>Michael Jacob Huvard, MD</t>
  </si>
  <si>
    <t>Adam Brent Jacobson, MD</t>
  </si>
  <si>
    <t>Kanishka Thiran Jayasundera, MB ChB</t>
  </si>
  <si>
    <t>Vanitha Isaac Jeyaraj, MD</t>
  </si>
  <si>
    <t>Denise Ann-Marie John, MD, FRCSC</t>
  </si>
  <si>
    <t>Mark W. Johnson, MD</t>
  </si>
  <si>
    <t>Shannon Shan Joseph, MD, MSc</t>
  </si>
  <si>
    <t>Ariane Dev Kaplan, MD</t>
  </si>
  <si>
    <t>Harjeet Kaur, MBBS, FRCS</t>
  </si>
  <si>
    <t>Sangeeta Khanna, MD</t>
  </si>
  <si>
    <t>Olivia Joy Killeen, MD</t>
  </si>
  <si>
    <t>Denise Sujin Kim, MD</t>
  </si>
  <si>
    <t>Jane S Kim, MD</t>
  </si>
  <si>
    <t>Zvi Aryeh Kresch, MD</t>
  </si>
  <si>
    <t>Amy Lynn Lagina, OD, FAAO</t>
  </si>
  <si>
    <t>Paul Pue-Jung Lee, MD, JD</t>
  </si>
  <si>
    <t>Helios Tin-Chung Leung, OD, PhD, FAAO</t>
  </si>
  <si>
    <t>Paul R. Lichter, MD, MS</t>
  </si>
  <si>
    <t>Nathan William Anderson Liles, MD</t>
  </si>
  <si>
    <t>Annalee del Rosario McCaig, PA-C</t>
  </si>
  <si>
    <t>Matthew Allen McKee, MD</t>
  </si>
  <si>
    <t>Thomas A Mendel, MD PhD</t>
  </si>
  <si>
    <t>Shahzad Ihsan Mian, MD</t>
  </si>
  <si>
    <t>Sarah Judith Michelson, MD</t>
  </si>
  <si>
    <t>Andrew R Miller, MD</t>
  </si>
  <si>
    <t>Jason Matthew Lewis Miller, MD PhD</t>
  </si>
  <si>
    <t>Kevin Mundy, MD</t>
  </si>
  <si>
    <t>Sameera Nadimpalli, MD</t>
  </si>
  <si>
    <t>Nambi Nallasamy, MD</t>
  </si>
  <si>
    <t>Christine Carol Nelson, MD, FACS</t>
  </si>
  <si>
    <t>Paula Anne Newman-Casey, MD, MS</t>
  </si>
  <si>
    <t>Yannis Mantas Paulus, MD, FACS</t>
  </si>
  <si>
    <t>Colleen Marie Podd, OD</t>
  </si>
  <si>
    <t>Lev Prasov, MD, PhD</t>
  </si>
  <si>
    <t>Donald George Puro, MD, PhD</t>
  </si>
  <si>
    <t>Rajesh Chalamalasetty Rao, MD</t>
  </si>
  <si>
    <t>Carin Desiree Rojas, MD</t>
  </si>
  <si>
    <t>Julie Megan Rosenthal, MD, MS</t>
  </si>
  <si>
    <t>Therese Maria Sassalos, MD</t>
  </si>
  <si>
    <t>Anjali Rajesh Shah, MD</t>
  </si>
  <si>
    <t>Manjool Manoj Shah, MD</t>
  </si>
  <si>
    <t>Roni Mintz Shtein, MD, MS</t>
  </si>
  <si>
    <t>Timothy Soeken, MD</t>
  </si>
  <si>
    <t>Hunson Kaz Soong, MD</t>
  </si>
  <si>
    <t>William Andrew Sray, MD</t>
  </si>
  <si>
    <t>Joshua Daniel Stein, MD, MS</t>
  </si>
  <si>
    <t>Alan Sugar, MD</t>
  </si>
  <si>
    <t>Bradford Laurence Tannen, MD, JD, MBA</t>
  </si>
  <si>
    <t>Jonathan Daniel Trobe, MD</t>
  </si>
  <si>
    <t>Angela Joy Verkade, MD</t>
  </si>
  <si>
    <t>Grace Meng Wang, MD, PhD</t>
  </si>
  <si>
    <t>Jennifer Somers Weizer, MD</t>
  </si>
  <si>
    <t>Adrienne Leigh West, MD</t>
  </si>
  <si>
    <t>Donna Marlayne Wicker, OD, FAAO</t>
  </si>
  <si>
    <t>Pamela Erskine Williams, MD</t>
  </si>
  <si>
    <t>Sarah Kristine Wood, OD, MS, FAAO</t>
  </si>
  <si>
    <t>Maria Anneke Woodward, MD, MS</t>
  </si>
  <si>
    <t>Rebecca Ann Wu, MD</t>
  </si>
  <si>
    <t>Thomas Joseph Wubben, MD, PhD</t>
  </si>
  <si>
    <t>Benjamin Khankirawatana Young, MD, MS</t>
  </si>
  <si>
    <t>David Noam Zacks, MD, PhD</t>
  </si>
  <si>
    <t>Amy Duoxi Zhang, MD</t>
  </si>
  <si>
    <t>Jason Zhang, MD</t>
  </si>
  <si>
    <t>Yu Cheng Zhao, MD</t>
  </si>
  <si>
    <t>Vcode</t>
  </si>
  <si>
    <t>Price</t>
  </si>
  <si>
    <t>V2784</t>
  </si>
  <si>
    <t>Polycarbonate lens per lens</t>
  </si>
  <si>
    <t>V2781</t>
  </si>
  <si>
    <t>Progresive lens per lens</t>
  </si>
  <si>
    <t>V2025</t>
  </si>
  <si>
    <t>Deluxe Frame</t>
  </si>
  <si>
    <t>Hi-Index 1.67 lens per lens</t>
  </si>
  <si>
    <t>Premium Progressive lens per lens</t>
  </si>
  <si>
    <t>Trivex lens per lens</t>
  </si>
  <si>
    <t>Digital Progressive lens per lens</t>
  </si>
  <si>
    <t>Diagnosis Codes</t>
  </si>
  <si>
    <t>H52.03 Hypermetropia, bilateral</t>
  </si>
  <si>
    <t>H52.01 Hypermetropia, right eye</t>
  </si>
  <si>
    <t>H52.13 Myopia, bilateral</t>
  </si>
  <si>
    <t>H52.11 Myopia, right eye</t>
  </si>
  <si>
    <t>H52.12 Myopia, left eye</t>
  </si>
  <si>
    <t>Z96.1  Presence of intraocular lens</t>
  </si>
  <si>
    <t>H52.4  Presbyopia</t>
  </si>
  <si>
    <t>H50.00 Unspecified esotropia</t>
  </si>
  <si>
    <t>V2100</t>
  </si>
  <si>
    <t>Lens spher single plano 4.00</t>
  </si>
  <si>
    <t>V2101</t>
  </si>
  <si>
    <t>Single visn sphere 4.12-7.00</t>
  </si>
  <si>
    <t>V2102</t>
  </si>
  <si>
    <t>Singl visn sphere 7.12-20.00</t>
  </si>
  <si>
    <t>V2103</t>
  </si>
  <si>
    <t>Spherocylindr 4.00d/.12-2.00d</t>
  </si>
  <si>
    <t>V2104</t>
  </si>
  <si>
    <t>Spherocylindr 4.00d/2.12-4d</t>
  </si>
  <si>
    <t>V2105</t>
  </si>
  <si>
    <t>Spherocylinder 4.00d/4.25-6d</t>
  </si>
  <si>
    <t>V2106</t>
  </si>
  <si>
    <t>Spherocylinder 4.00d/&gt;6.00d</t>
  </si>
  <si>
    <t>V2107</t>
  </si>
  <si>
    <t>Spherocylinder 4.25d/12-2d</t>
  </si>
  <si>
    <t>V2108</t>
  </si>
  <si>
    <t>Spherocylinder 4.25d/2.12-4d</t>
  </si>
  <si>
    <t>V2109</t>
  </si>
  <si>
    <t>Spherocylinder 4.25d/4.25-6d</t>
  </si>
  <si>
    <t>V2110</t>
  </si>
  <si>
    <t>Spherocylinder 4.25d/over 6d</t>
  </si>
  <si>
    <t>V2111</t>
  </si>
  <si>
    <t>Spherocylindr 7.25d/.25-2.25</t>
  </si>
  <si>
    <t>V2112</t>
  </si>
  <si>
    <t>Spherocylindr 7.25d/2.25-4d</t>
  </si>
  <si>
    <t>V2113</t>
  </si>
  <si>
    <t>Spherocylindr 7.25d/4.25-6d</t>
  </si>
  <si>
    <t>V2114</t>
  </si>
  <si>
    <t>Spherocylinder over 12.00d</t>
  </si>
  <si>
    <t>V2121</t>
  </si>
  <si>
    <t>Lenticular lens, single</t>
  </si>
  <si>
    <t>V2200</t>
  </si>
  <si>
    <t>Lens spher bifoc plano 4.00d</t>
  </si>
  <si>
    <t>V2201</t>
  </si>
  <si>
    <t>Lens sphere bifocal 4.12-7.0</t>
  </si>
  <si>
    <t>V2202</t>
  </si>
  <si>
    <t>Lens sphere bifocal 7.12-20.</t>
  </si>
  <si>
    <t>V2203</t>
  </si>
  <si>
    <t>Lens sphcyl bifocal 4.00d/.1</t>
  </si>
  <si>
    <t>V2204</t>
  </si>
  <si>
    <t>Lens sphcy bifocal 4.00d/2.1</t>
  </si>
  <si>
    <t>V2205</t>
  </si>
  <si>
    <t>Lens sphcy bifocal 4.00d/4.2</t>
  </si>
  <si>
    <t>V2206</t>
  </si>
  <si>
    <t>Lens sphcy bifocal 4.00d/ove</t>
  </si>
  <si>
    <t>V2207</t>
  </si>
  <si>
    <t>Lens sphcy bifocal 4.25-7d/.</t>
  </si>
  <si>
    <t>V2208</t>
  </si>
  <si>
    <t>Lens sphcy bifocal 4.25-7/2.</t>
  </si>
  <si>
    <t>V2209</t>
  </si>
  <si>
    <t>Lens sphcy bifocal 4.25-7/4.</t>
  </si>
  <si>
    <t>V2210</t>
  </si>
  <si>
    <t>Lens sphcy bifocal 4.25-7/ov</t>
  </si>
  <si>
    <t>V2211</t>
  </si>
  <si>
    <t>Lens sphcy bifo 7.25-12/.25-</t>
  </si>
  <si>
    <t>V2212</t>
  </si>
  <si>
    <t>Lens sphcyl bifo 7.25-12/2.2</t>
  </si>
  <si>
    <t>V2213</t>
  </si>
  <si>
    <t>Lens sphcyl bifo 7.25-12/4.2</t>
  </si>
  <si>
    <t>V2214</t>
  </si>
  <si>
    <t>Lens sphcyl bifocal over 12.</t>
  </si>
  <si>
    <t>V2221</t>
  </si>
  <si>
    <t>Lenticular lens, per lens, bifocal</t>
  </si>
  <si>
    <t>V2220</t>
  </si>
  <si>
    <t>Lens bifocal add over 3.25d</t>
  </si>
  <si>
    <t>V2300</t>
  </si>
  <si>
    <t>Lens sphere trifocal 4.00d</t>
  </si>
  <si>
    <t>V2301</t>
  </si>
  <si>
    <t>Lens sphere trifocal 4.12-7.</t>
  </si>
  <si>
    <t>V2302</t>
  </si>
  <si>
    <t>Lens sphere trifocal 7.12-20</t>
  </si>
  <si>
    <t>V2303</t>
  </si>
  <si>
    <t>Lens sphcy trifocal 4.0/.12-</t>
  </si>
  <si>
    <t>V2304</t>
  </si>
  <si>
    <t>Lens sphcy trifocal 4.0/2.25</t>
  </si>
  <si>
    <t>V2305</t>
  </si>
  <si>
    <t>Lens sphcy trifocal 4.0/4.25</t>
  </si>
  <si>
    <t>V2306</t>
  </si>
  <si>
    <t>Lens sphcyl trifocal 4.00/&gt;6</t>
  </si>
  <si>
    <t>V2307</t>
  </si>
  <si>
    <t>Lens sphcy trifocal 4.25-7/.</t>
  </si>
  <si>
    <t>V2308</t>
  </si>
  <si>
    <t>Lens sphc trifocal 4.25-7/2.</t>
  </si>
  <si>
    <t>V2309</t>
  </si>
  <si>
    <t>Lens sphc trifocal 4.25-7/4.</t>
  </si>
  <si>
    <t>V2310</t>
  </si>
  <si>
    <t>Lens sphc trifocal 4.25-7/&gt;6</t>
  </si>
  <si>
    <t>V2311</t>
  </si>
  <si>
    <t>Lens sphc trifo 7.25-12/.25-</t>
  </si>
  <si>
    <t>V2312</t>
  </si>
  <si>
    <t>Lens sphc trifo 7.25-12/2.25</t>
  </si>
  <si>
    <t>V2313</t>
  </si>
  <si>
    <t>Lens sphc trifo 7.25-12/4.25</t>
  </si>
  <si>
    <t>V2314</t>
  </si>
  <si>
    <t>Lens sphcyl trifocal over 12</t>
  </si>
  <si>
    <t>V2020</t>
  </si>
  <si>
    <t>Standard frames</t>
  </si>
  <si>
    <t>Single Vision</t>
  </si>
  <si>
    <t>Bi-Focal</t>
  </si>
  <si>
    <t>Tri-focal</t>
  </si>
  <si>
    <t>Item</t>
  </si>
  <si>
    <t>standard frame</t>
  </si>
  <si>
    <t>premium material prices</t>
  </si>
  <si>
    <t>Covered Material Prices</t>
  </si>
  <si>
    <t>New</t>
  </si>
  <si>
    <t>Blue Cross Complete</t>
  </si>
  <si>
    <t>234234</t>
  </si>
  <si>
    <t>erwer, werwer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</si>
</sst>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9" tint="0.79998168889431442"/>
        <bgColor theme="9" tint="0.79998168889431442"/>
      </patternFill>
    </fill>
  </fills>
  <borders count="4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2">
    <xf numFmtId="0" fontId="0" fillId="0" borderId="0" xfId="0"/>
    <xf numFmtId="0" fontId="0" fillId="0" borderId="2" xfId="0" applyBorder="1"/>
    <xf numFmtId="164" fontId="0" fillId="0" borderId="3" xfId="0" applyNumberFormat="1" applyBorder="1"/>
    <xf numFmtId="0" fontId="0" fillId="0" borderId="4" xfId="0" applyBorder="1" applyAlignment="1">
      <alignment horizontal="center"/>
    </xf>
    <xf numFmtId="0" fontId="3" fillId="0" borderId="3" xfId="0" applyFont="1" applyBorder="1"/>
    <xf numFmtId="0" fontId="4" fillId="0" borderId="3" xfId="0" applyFont="1" applyBorder="1"/>
    <xf numFmtId="0" fontId="0" fillId="0" borderId="4" xfId="0" applyBorder="1" applyAlignment="1">
      <alignment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8" xfId="0" applyBorder="1"/>
    <xf numFmtId="0" fontId="0" fillId="0" borderId="9" xfId="0" applyBorder="1" applyAlignment="1">
      <alignment vertical="center"/>
    </xf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5" fillId="0" borderId="8" xfId="0" applyFont="1" applyBorder="1"/>
    <xf numFmtId="0" fontId="0" fillId="0" borderId="9" xfId="0" applyBorder="1"/>
    <xf numFmtId="164" fontId="0" fillId="0" borderId="7" xfId="0" applyNumberFormat="1" applyBorder="1"/>
    <xf numFmtId="7" fontId="6" fillId="0" borderId="7" xfId="0" applyNumberFormat="1" applyFont="1" applyBorder="1"/>
    <xf numFmtId="164" fontId="0" fillId="0" borderId="12" xfId="1" applyNumberFormat="1" applyFont="1" applyBorder="1" applyAlignment="1"/>
    <xf numFmtId="0" fontId="0" fillId="0" borderId="14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8" fillId="0" borderId="21" xfId="0" applyFont="1" applyBorder="1" applyAlignment="1">
      <alignment vertical="center"/>
    </xf>
    <xf numFmtId="0" fontId="8" fillId="0" borderId="0" xfId="0" applyFont="1" applyAlignment="1">
      <alignment vertical="center"/>
    </xf>
    <xf numFmtId="14" fontId="0" fillId="0" borderId="0" xfId="0" applyNumberFormat="1" applyAlignment="1" applyProtection="1">
      <alignment vertical="center"/>
      <protection locked="0"/>
    </xf>
    <xf numFmtId="0" fontId="0" fillId="0" borderId="22" xfId="0" applyBorder="1" applyAlignment="1">
      <alignment horizontal="right"/>
    </xf>
    <xf numFmtId="0" fontId="8" fillId="0" borderId="24" xfId="0" applyFont="1" applyBorder="1"/>
    <xf numFmtId="0" fontId="8" fillId="0" borderId="25" xfId="0" applyFont="1" applyBorder="1"/>
    <xf numFmtId="0" fontId="0" fillId="0" borderId="22" xfId="0" applyBorder="1" applyAlignment="1">
      <alignment horizontal="right" vertical="center"/>
    </xf>
    <xf numFmtId="0" fontId="0" fillId="0" borderId="21" xfId="0" applyBorder="1"/>
    <xf numFmtId="0" fontId="8" fillId="0" borderId="21" xfId="0" applyFont="1" applyBorder="1"/>
    <xf numFmtId="0" fontId="8" fillId="0" borderId="0" xfId="0" applyFont="1"/>
    <xf numFmtId="0" fontId="8" fillId="0" borderId="22" xfId="0" applyFont="1" applyBorder="1"/>
    <xf numFmtId="0" fontId="8" fillId="0" borderId="27" xfId="0" applyFont="1" applyBorder="1"/>
    <xf numFmtId="0" fontId="0" fillId="0" borderId="23" xfId="0" applyBorder="1"/>
    <xf numFmtId="0" fontId="8" fillId="2" borderId="1" xfId="0" applyFont="1" applyFill="1" applyBorder="1"/>
    <xf numFmtId="0" fontId="8" fillId="2" borderId="29" xfId="0" applyFont="1" applyFill="1" applyBorder="1"/>
    <xf numFmtId="14" fontId="10" fillId="0" borderId="20" xfId="0" applyNumberFormat="1" applyFont="1" applyBorder="1"/>
    <xf numFmtId="0" fontId="11" fillId="3" borderId="0" xfId="0" applyFont="1" applyFill="1" applyAlignment="1">
      <alignment horizontal="left"/>
    </xf>
    <xf numFmtId="0" fontId="0" fillId="4" borderId="32" xfId="0" applyFill="1" applyBorder="1" applyAlignment="1">
      <alignment horizontal="left"/>
    </xf>
    <xf numFmtId="0" fontId="0" fillId="0" borderId="32" xfId="0" applyBorder="1" applyAlignment="1">
      <alignment horizontal="left"/>
    </xf>
    <xf numFmtId="0" fontId="0" fillId="4" borderId="32" xfId="0" applyFill="1" applyBorder="1" applyAlignment="1">
      <alignment horizontal="left" vertical="center"/>
    </xf>
    <xf numFmtId="0" fontId="0" fillId="0" borderId="33" xfId="0" applyBorder="1"/>
    <xf numFmtId="0" fontId="11" fillId="5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0" fillId="4" borderId="35" xfId="0" applyFill="1" applyBorder="1" applyAlignment="1">
      <alignment horizontal="left"/>
    </xf>
    <xf numFmtId="0" fontId="0" fillId="7" borderId="36" xfId="0" applyFill="1" applyBorder="1" applyAlignment="1">
      <alignment horizontal="left"/>
    </xf>
    <xf numFmtId="0" fontId="0" fillId="8" borderId="37" xfId="0" applyFill="1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11" fillId="3" borderId="0" xfId="0" applyFont="1" applyFill="1"/>
    <xf numFmtId="0" fontId="0" fillId="4" borderId="34" xfId="0" applyFill="1" applyBorder="1"/>
    <xf numFmtId="0" fontId="0" fillId="4" borderId="33" xfId="0" applyFill="1" applyBorder="1"/>
    <xf numFmtId="0" fontId="0" fillId="4" borderId="32" xfId="0" applyFill="1" applyBorder="1"/>
    <xf numFmtId="0" fontId="0" fillId="0" borderId="32" xfId="0" applyBorder="1"/>
    <xf numFmtId="0" fontId="11" fillId="5" borderId="0" xfId="0" applyFont="1" applyFill="1"/>
    <xf numFmtId="0" fontId="0" fillId="7" borderId="36" xfId="0" applyFill="1" applyBorder="1"/>
    <xf numFmtId="0" fontId="0" fillId="8" borderId="0" xfId="0" applyFont="1" applyFill="1" applyBorder="1" applyAlignment="1">
      <alignment horizontal="left"/>
    </xf>
    <xf numFmtId="0" fontId="12" fillId="0" borderId="40" xfId="0" applyFont="1" applyBorder="1"/>
    <xf numFmtId="0" fontId="12" fillId="0" borderId="41" xfId="0" applyFont="1" applyBorder="1"/>
    <xf numFmtId="0" fontId="0" fillId="0" borderId="40" xfId="0" applyBorder="1"/>
    <xf numFmtId="0" fontId="0" fillId="0" borderId="41" xfId="0" applyBorder="1" applyAlignment="1">
      <alignment horizontal="center"/>
    </xf>
    <xf numFmtId="0" fontId="0" fillId="0" borderId="40" xfId="0" applyFill="1" applyBorder="1"/>
    <xf numFmtId="0" fontId="0" fillId="0" borderId="41" xfId="0" applyFill="1" applyBorder="1" applyAlignment="1">
      <alignment horizontal="center"/>
    </xf>
    <xf numFmtId="0" fontId="12" fillId="0" borderId="41" xfId="0" applyFont="1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Fill="1" applyBorder="1" applyAlignment="1">
      <alignment horizontal="left"/>
    </xf>
    <xf numFmtId="44" fontId="0" fillId="0" borderId="13" xfId="1" applyNumberFormat="1" applyFont="1" applyBorder="1"/>
    <xf numFmtId="44" fontId="0" fillId="0" borderId="8" xfId="1" applyNumberFormat="1" applyFont="1" applyBorder="1"/>
    <xf numFmtId="44" fontId="0" fillId="0" borderId="8" xfId="1" applyNumberFormat="1" applyFont="1" applyBorder="1" applyAlignment="1"/>
    <xf numFmtId="0" fontId="5" fillId="0" borderId="0" xfId="0" applyFont="1" applyAlignment="1">
      <alignment horizontal="center"/>
    </xf>
    <xf numFmtId="0" fontId="5" fillId="0" borderId="21" xfId="0" applyFont="1" applyBorder="1" applyAlignment="1">
      <alignment horizontal="center"/>
    </xf>
    <xf numFmtId="0" fontId="7" fillId="2" borderId="18" xfId="0" applyFont="1" applyFill="1" applyBorder="1" applyAlignment="1">
      <alignment horizontal="center"/>
    </xf>
    <xf numFmtId="0" fontId="7" fillId="2" borderId="20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49" fontId="10" fillId="0" borderId="27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10" fillId="0" borderId="21" xfId="0" applyNumberFormat="1" applyFont="1" applyBorder="1" applyAlignment="1">
      <alignment horizontal="center" vertical="center"/>
    </xf>
    <xf numFmtId="14" fontId="10" fillId="0" borderId="20" xfId="0" applyNumberFormat="1" applyFont="1" applyBorder="1" applyAlignment="1">
      <alignment horizontal="left"/>
    </xf>
    <xf numFmtId="0" fontId="10" fillId="0" borderId="20" xfId="0" applyFont="1" applyBorder="1" applyAlignment="1">
      <alignment horizontal="left"/>
    </xf>
    <xf numFmtId="0" fontId="10" fillId="0" borderId="17" xfId="0" applyFont="1" applyBorder="1" applyAlignment="1">
      <alignment horizontal="left"/>
    </xf>
    <xf numFmtId="0" fontId="7" fillId="2" borderId="3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0" xfId="0" applyFont="1" applyFill="1" applyBorder="1" applyAlignment="1">
      <alignment horizontal="center"/>
    </xf>
    <xf numFmtId="0" fontId="7" fillId="2" borderId="28" xfId="0" applyFont="1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7" fillId="2" borderId="27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23" xfId="0" applyFont="1" applyFill="1" applyBorder="1" applyAlignment="1">
      <alignment horizontal="center"/>
    </xf>
    <xf numFmtId="0" fontId="7" fillId="2" borderId="22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9" fillId="0" borderId="2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" fillId="0" borderId="26" xfId="0" applyFont="1" applyBorder="1"/>
    <xf numFmtId="0" fontId="8" fillId="0" borderId="25" xfId="0" applyFont="1" applyBorder="1"/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0" fillId="0" borderId="0" xfId="0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</cellXfs>
  <cellStyles count="2">
    <cellStyle name="Currency" xfId="1" builtinId="4"/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indexed="64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indexed="64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indexed="64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64BE0F-4DE9-4E2E-B92F-7E5DF4884A36}" name="referring_physician_tbl" displayName="referring_physician_tbl" ref="A1:A101" totalsRowShown="0" headerRowDxfId="25" dataDxfId="24" tableBorderDxfId="23">
  <autoFilter ref="A1:A101" xr:uid="{9364BE0F-4DE9-4E2E-B92F-7E5DF4884A36}"/>
  <tableColumns count="1">
    <tableColumn id="1" xr3:uid="{46C1C1C8-A412-4EC0-A5C4-A54EEA056B3C}" name="Referring Physicians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752AB6-FBA2-45BE-A744-CBAF3B6612AE}" name="diagnosis_code_tbl" displayName="diagnosis_code_tbl" ref="A1:A10" totalsRowShown="0" headerRowDxfId="21" dataDxfId="20" tableBorderDxfId="19">
  <autoFilter ref="A1:A10" xr:uid="{5A752AB6-FBA2-45BE-A744-CBAF3B6612AE}"/>
  <tableColumns count="1">
    <tableColumn id="1" xr3:uid="{AFE75479-DBBB-495A-9052-00612E463EBB}" name="Diagnosis Codes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4183DE5-03EC-462D-AB74-794034BF5E5E}" name="premium_lens_material_tbl" displayName="premium_lens_material_tbl" ref="A1:C4" totalsRowShown="0" headerRowDxfId="17" tableBorderDxfId="16">
  <autoFilter ref="A1:C4" xr:uid="{64183DE5-03EC-462D-AB74-794034BF5E5E}"/>
  <tableColumns count="3">
    <tableColumn id="1" xr3:uid="{4DE78597-FED1-4628-8CF3-4DF9FEF65C1C}" name="Vcode"/>
    <tableColumn id="2" xr3:uid="{BD483353-1602-4B74-9B46-E403F9F800E6}" name="Description"/>
    <tableColumn id="3" xr3:uid="{D2273C06-19C0-4101-A918-5E9C6B7D1349}" name="Pri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39837A3-ABA6-4636-A4D6-E32CE5A3F604}" name="premium_lens_type_tbl" displayName="premium_lens_type_tbl" ref="E1:G4" totalsRowShown="0" headerRowDxfId="15" tableBorderDxfId="14">
  <autoFilter ref="E1:G4" xr:uid="{E39837A3-ABA6-4636-A4D6-E32CE5A3F604}"/>
  <tableColumns count="3">
    <tableColumn id="1" xr3:uid="{97776937-8A63-4020-BF61-37B0FEADA6B5}" name="Vcode"/>
    <tableColumn id="2" xr3:uid="{6F413EEE-F44F-4AF4-A1F0-3F70A5BC4692}" name="Description"/>
    <tableColumn id="3" xr3:uid="{7A9C6D1E-CAE0-47AA-9ECE-DD8764D551EA}" name="Pri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A8DF097-4F83-4379-8E4B-3F41E8A27050}" name="premium_frame_tbl" displayName="premium_frame_tbl" ref="L1:N2" totalsRowShown="0" headerRowDxfId="13" dataDxfId="12" tableBorderDxfId="11">
  <autoFilter ref="L1:N2" xr:uid="{1A8DF097-4F83-4379-8E4B-3F41E8A27050}"/>
  <tableColumns count="3">
    <tableColumn id="1" xr3:uid="{A3B57743-7818-4ED3-AAFD-B7800D216DA3}" name="Vcode" dataDxfId="10"/>
    <tableColumn id="2" xr3:uid="{EA3247A0-2D76-4841-8B0A-A17376F30D3D}" name="Description" dataDxfId="9"/>
    <tableColumn id="3" xr3:uid="{BA0CD962-E7C5-4F6C-8D33-B2F990E31140}" name="Price" dataDxfId="8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9FD873-215A-4D2E-A88C-3B9B06345A1E}" name="covered_lens_tbl" displayName="covered_lens_tbl" ref="A1:C49" totalsRowShown="0" tableBorderDxfId="7">
  <autoFilter ref="A1:C49" xr:uid="{E39FD873-215A-4D2E-A88C-3B9B06345A1E}"/>
  <tableColumns count="3">
    <tableColumn id="1" xr3:uid="{2AB9DBE0-AAA1-4505-A815-52A3922835EB}" name="Vcode" dataDxfId="6"/>
    <tableColumn id="2" xr3:uid="{0F2B0FD9-58FE-43E4-B84E-BB65D0E9D997}" name="Description" dataDxfId="5"/>
    <tableColumn id="3" xr3:uid="{272B367A-A03D-494A-8F3A-68F97200D02F}" name="Price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7DFC5EA-96F5-4779-BD99-870067DEDE20}" name="covered_frame_tbl" displayName="covered_frame_tbl" ref="E1:G2" totalsRowShown="0" tableBorderDxfId="3">
  <autoFilter ref="E1:G2" xr:uid="{27DFC5EA-96F5-4779-BD99-870067DEDE20}"/>
  <tableColumns count="3">
    <tableColumn id="1" xr3:uid="{31F3E0CB-6936-498B-8A8E-262DDE2F54E8}" name="Vcode" dataDxfId="2"/>
    <tableColumn id="2" xr3:uid="{DDFBFD40-F342-4135-8D36-6B953FC94C7A}" name="Description" dataDxfId="1"/>
    <tableColumn id="3" xr3:uid="{EAE9C38A-7171-427E-86F3-AC9ED27E9178}" name="Price" dataDxfId="0">
      <calculatedColumnFormula>J6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1B5C0-41D7-4DB7-8BBD-481CCD9615A5}">
  <sheetPr codeName="charge_ticket">
    <pageSetUpPr fitToPage="1"/>
  </sheetPr>
  <dimension ref="A1:Y118"/>
  <sheetViews>
    <sheetView tabSelected="1" workbookViewId="0">
      <selection activeCell="T17" sqref="T17"/>
    </sheetView>
  </sheetViews>
  <sheetFormatPr defaultRowHeight="14.6" x14ac:dyDescent="0.4"/>
  <cols>
    <col min="1" max="1" width="5" customWidth="1"/>
    <col min="2" max="2" width="7.84375" customWidth="1"/>
    <col min="3" max="3" width="7" customWidth="1"/>
    <col min="4" max="4" width="10.53515625" customWidth="1"/>
    <col min="5" max="5" width="15" customWidth="1"/>
    <col min="7" max="7" width="9.15234375" customWidth="1"/>
    <col min="8" max="8" width="14.3828125" customWidth="1"/>
    <col min="9" max="9" width="10.3828125" customWidth="1"/>
    <col min="10" max="10" width="10.53515625" customWidth="1"/>
    <col min="11" max="11" width="0.53515625" customWidth="1"/>
  </cols>
  <sheetData>
    <row r="1" spans="1:25" x14ac:dyDescent="0.4">
      <c r="A1" s="75" t="s">
        <v>20</v>
      </c>
      <c r="B1" s="75"/>
      <c r="C1" s="75"/>
      <c r="D1" s="75"/>
      <c r="E1" s="75"/>
    </row>
    <row r="2" spans="1:25" ht="15.75" customHeight="1" thickBot="1" x14ac:dyDescent="0.45">
      <c r="A2" s="75" t="s">
        <v>19</v>
      </c>
      <c r="B2" s="75"/>
      <c r="C2" s="75"/>
      <c r="D2" s="75"/>
      <c r="E2" s="76"/>
      <c r="F2" s="77" t="s">
        <v>18</v>
      </c>
      <c r="G2" s="78"/>
      <c r="H2" s="78"/>
      <c r="I2" s="78"/>
      <c r="J2" s="78"/>
      <c r="K2" s="79"/>
    </row>
    <row r="3" spans="1:25" ht="19.5" customHeight="1" x14ac:dyDescent="0.4">
      <c r="A3" s="75" t="s">
        <v>17</v>
      </c>
      <c r="B3" s="75"/>
      <c r="C3" s="75"/>
      <c r="D3" s="75"/>
      <c r="E3" s="76"/>
      <c r="F3" s="38"/>
      <c r="G3" s="36"/>
      <c r="H3" s="36"/>
      <c r="I3" s="36"/>
      <c r="J3" s="36"/>
      <c r="K3" s="35"/>
    </row>
    <row r="4" spans="1:25" ht="16.5" customHeight="1" x14ac:dyDescent="0.4">
      <c r="B4" s="36"/>
      <c r="C4" s="36"/>
      <c r="D4" s="36"/>
      <c r="E4" s="36"/>
      <c r="F4" s="80" t="s">
        <v>250</v>
      </c>
      <c r="G4" s="81"/>
      <c r="H4" s="81"/>
      <c r="I4" s="81"/>
      <c r="J4" s="81"/>
      <c r="K4" s="82"/>
    </row>
    <row r="5" spans="1:25" ht="2.25" hidden="1" customHeight="1" x14ac:dyDescent="0.4">
      <c r="B5" s="36"/>
      <c r="C5" s="36"/>
      <c r="D5" s="36"/>
      <c r="E5" s="36"/>
      <c r="F5" s="80"/>
      <c r="G5" s="81"/>
      <c r="H5" s="81"/>
      <c r="I5" s="81"/>
      <c r="J5" s="81"/>
      <c r="K5" s="82"/>
      <c r="S5" t="s">
        <v>16</v>
      </c>
    </row>
    <row r="6" spans="1:25" ht="27.75" customHeight="1" x14ac:dyDescent="0.4">
      <c r="A6" s="75" t="s">
        <v>15</v>
      </c>
      <c r="B6" s="75"/>
      <c r="C6" s="75"/>
      <c r="D6" s="75"/>
      <c r="E6" s="76"/>
      <c r="F6" s="80" t="s">
        <v>249</v>
      </c>
      <c r="G6" s="81"/>
      <c r="H6" s="81"/>
      <c r="I6" s="81"/>
      <c r="J6" s="81"/>
      <c r="K6" s="82"/>
    </row>
    <row r="7" spans="1:25" ht="10.5" customHeight="1" x14ac:dyDescent="0.4">
      <c r="B7" s="36"/>
      <c r="C7" s="36"/>
      <c r="D7" s="36"/>
      <c r="E7" s="36"/>
      <c r="F7" s="38"/>
      <c r="G7" s="36"/>
      <c r="H7" s="36"/>
      <c r="I7" s="36"/>
      <c r="J7" s="36"/>
      <c r="K7" s="35"/>
    </row>
    <row r="8" spans="1:25" ht="16.3" thickBot="1" x14ac:dyDescent="0.5">
      <c r="B8" s="42" t="s">
        <v>14</v>
      </c>
      <c r="C8" s="83">
        <f ca="1">TODAY()</f>
        <v>44687</v>
      </c>
      <c r="D8" s="84"/>
      <c r="E8" s="85"/>
      <c r="F8" s="38"/>
      <c r="G8" s="36"/>
      <c r="H8" s="36"/>
      <c r="I8" s="36"/>
      <c r="J8" s="36"/>
      <c r="K8" s="35"/>
    </row>
    <row r="9" spans="1:25" ht="12" customHeight="1" x14ac:dyDescent="0.4">
      <c r="B9" s="86" t="s">
        <v>13</v>
      </c>
      <c r="C9" s="87"/>
      <c r="D9" s="87"/>
      <c r="E9" s="88"/>
      <c r="F9" s="41" t="s">
        <v>8</v>
      </c>
      <c r="G9" s="40"/>
      <c r="H9" s="87" t="s">
        <v>12</v>
      </c>
      <c r="I9" s="87"/>
      <c r="J9" s="87"/>
      <c r="K9" s="89"/>
    </row>
    <row r="10" spans="1:25" ht="13.5" customHeight="1" x14ac:dyDescent="0.4">
      <c r="B10" s="90" t="s">
        <v>11</v>
      </c>
      <c r="C10" s="91"/>
      <c r="D10" s="91"/>
      <c r="E10" s="91"/>
      <c r="F10" s="36"/>
      <c r="G10" s="36"/>
      <c r="H10" s="37"/>
      <c r="I10" s="36"/>
      <c r="J10" s="36"/>
      <c r="K10" s="35"/>
    </row>
    <row r="11" spans="1:25" ht="12" customHeight="1" x14ac:dyDescent="0.4">
      <c r="B11" s="90"/>
      <c r="C11" s="91"/>
      <c r="D11" s="91"/>
      <c r="E11" s="91"/>
      <c r="G11" s="39"/>
      <c r="H11" s="92" t="s">
        <v>135</v>
      </c>
      <c r="I11" s="91"/>
      <c r="J11" s="91"/>
      <c r="K11" s="93"/>
    </row>
    <row r="12" spans="1:25" ht="16.5" customHeight="1" x14ac:dyDescent="0.4">
      <c r="B12" s="38"/>
      <c r="C12" s="36"/>
      <c r="D12" s="36"/>
      <c r="E12" s="36"/>
      <c r="F12" s="36"/>
      <c r="G12" s="36"/>
      <c r="H12" s="37"/>
      <c r="I12" s="36"/>
      <c r="J12" s="36"/>
      <c r="K12" s="35"/>
    </row>
    <row r="13" spans="1:25" ht="12" customHeight="1" x14ac:dyDescent="0.4">
      <c r="B13" s="94" t="s">
        <v>10</v>
      </c>
      <c r="C13" s="95"/>
      <c r="D13" s="95"/>
      <c r="E13" s="96"/>
      <c r="F13" s="97" t="s">
        <v>9</v>
      </c>
      <c r="G13" s="96"/>
      <c r="H13" s="97" t="s">
        <v>8</v>
      </c>
      <c r="I13" s="95"/>
      <c r="J13" s="95"/>
      <c r="K13" s="98"/>
    </row>
    <row r="14" spans="1:25" ht="15" customHeight="1" x14ac:dyDescent="0.4">
      <c r="B14" s="90" t="s">
        <v>248</v>
      </c>
      <c r="C14" s="91"/>
      <c r="D14" s="91"/>
      <c r="E14" s="99"/>
      <c r="F14" s="92" t="s">
        <v>247</v>
      </c>
      <c r="G14" s="99"/>
      <c r="H14" s="100"/>
      <c r="I14" s="101"/>
      <c r="J14" s="101"/>
      <c r="K14" s="34"/>
    </row>
    <row r="15" spans="1:25" ht="21" customHeight="1" x14ac:dyDescent="0.4">
      <c r="B15" s="90"/>
      <c r="C15" s="91"/>
      <c r="D15" s="91"/>
      <c r="E15" s="99"/>
      <c r="F15" s="92"/>
      <c r="G15" s="99"/>
      <c r="H15" s="33"/>
      <c r="I15" s="29"/>
      <c r="J15" s="28"/>
      <c r="K15" s="27"/>
    </row>
    <row r="16" spans="1:25" ht="23.25" customHeight="1" x14ac:dyDescent="0.4">
      <c r="B16" s="102"/>
      <c r="C16" s="103"/>
      <c r="D16" s="32"/>
      <c r="E16" s="31"/>
      <c r="F16" s="104"/>
      <c r="G16" s="105"/>
      <c r="H16" s="30"/>
      <c r="I16" s="29"/>
      <c r="J16" s="28"/>
      <c r="K16" s="27"/>
      <c r="X16" s="106"/>
      <c r="Y16" s="106"/>
    </row>
    <row r="17" spans="2:11" ht="12" customHeight="1" thickBot="1" x14ac:dyDescent="0.45">
      <c r="B17" s="107" t="s">
        <v>7</v>
      </c>
      <c r="C17" s="108"/>
      <c r="D17" s="26" t="s">
        <v>6</v>
      </c>
      <c r="E17" s="77" t="s">
        <v>5</v>
      </c>
      <c r="F17" s="78"/>
      <c r="G17" s="78"/>
      <c r="H17" s="79"/>
      <c r="I17" s="26" t="s">
        <v>4</v>
      </c>
      <c r="J17" s="77" t="s">
        <v>3</v>
      </c>
      <c r="K17" s="79"/>
    </row>
    <row r="18" spans="2:11" ht="17.5" customHeight="1" x14ac:dyDescent="0.4">
      <c r="B18" s="25" t="s">
        <v>238</v>
      </c>
      <c r="C18" s="24"/>
      <c r="D18" s="23"/>
      <c r="E18" s="22" t="s">
        <v>239</v>
      </c>
      <c r="F18" s="22"/>
      <c r="G18" s="22"/>
      <c r="H18" s="22"/>
      <c r="I18" s="21">
        <v>1</v>
      </c>
      <c r="J18" s="72">
        <v>99</v>
      </c>
      <c r="K18" s="20"/>
    </row>
    <row r="19" spans="2:11" ht="17.5" customHeight="1" x14ac:dyDescent="0.4">
      <c r="B19" s="15" t="s">
        <v>144</v>
      </c>
      <c r="C19" s="13"/>
      <c r="D19" s="17"/>
      <c r="E19" s="11" t="s">
        <v>145</v>
      </c>
      <c r="F19" s="11"/>
      <c r="G19" s="11"/>
      <c r="H19" s="11"/>
      <c r="I19" s="10">
        <v>2</v>
      </c>
      <c r="J19" s="73">
        <v>110</v>
      </c>
      <c r="K19" s="18"/>
    </row>
    <row r="20" spans="2:11" ht="17.5" customHeight="1" x14ac:dyDescent="0.4">
      <c r="B20" s="15"/>
      <c r="C20" s="13"/>
      <c r="D20" s="17"/>
      <c r="E20" s="11"/>
      <c r="F20" s="11"/>
      <c r="G20" s="11"/>
      <c r="H20" s="11"/>
      <c r="I20" s="10"/>
      <c r="J20" s="73"/>
      <c r="K20" s="19"/>
    </row>
    <row r="21" spans="2:11" ht="17.5" customHeight="1" x14ac:dyDescent="0.4">
      <c r="B21" s="15"/>
      <c r="C21" s="13"/>
      <c r="D21" s="17"/>
      <c r="E21" s="11"/>
      <c r="F21" s="11"/>
      <c r="G21" s="11"/>
      <c r="H21" s="11"/>
      <c r="I21" s="10"/>
      <c r="J21" s="73"/>
      <c r="K21" s="18"/>
    </row>
    <row r="22" spans="2:11" ht="17.5" customHeight="1" x14ac:dyDescent="0.4">
      <c r="B22" s="15"/>
      <c r="C22" s="13"/>
      <c r="D22" s="17"/>
      <c r="E22" s="11"/>
      <c r="F22" s="11"/>
      <c r="G22" s="11"/>
      <c r="H22" s="11"/>
      <c r="I22" s="10"/>
      <c r="J22" s="73"/>
      <c r="K22" s="18"/>
    </row>
    <row r="23" spans="2:11" ht="17.5" customHeight="1" x14ac:dyDescent="0.4">
      <c r="B23" s="15"/>
      <c r="C23" s="13"/>
      <c r="D23" s="17"/>
      <c r="E23" s="11"/>
      <c r="F23" s="11"/>
      <c r="G23" s="11"/>
      <c r="H23" s="11"/>
      <c r="I23" s="10"/>
      <c r="J23" s="73"/>
      <c r="K23" s="18"/>
    </row>
    <row r="24" spans="2:11" ht="17.5" customHeight="1" x14ac:dyDescent="0.4">
      <c r="B24" s="15"/>
      <c r="C24" s="13"/>
      <c r="D24" s="17"/>
      <c r="E24" s="11"/>
      <c r="F24" s="11"/>
      <c r="G24" s="11"/>
      <c r="H24" s="11"/>
      <c r="I24" s="10"/>
      <c r="J24" s="73"/>
      <c r="K24" s="18"/>
    </row>
    <row r="25" spans="2:11" ht="17.5" customHeight="1" x14ac:dyDescent="0.4">
      <c r="B25" s="15"/>
      <c r="C25" s="13"/>
      <c r="D25" s="17"/>
      <c r="E25" s="11"/>
      <c r="F25" s="11"/>
      <c r="G25" s="11"/>
      <c r="H25" s="11"/>
      <c r="I25" s="10"/>
      <c r="J25" s="73"/>
      <c r="K25" s="18"/>
    </row>
    <row r="26" spans="2:11" ht="17.5" customHeight="1" x14ac:dyDescent="0.4">
      <c r="B26" s="15"/>
      <c r="C26" s="13"/>
      <c r="D26" s="17"/>
      <c r="E26" s="11"/>
      <c r="F26" s="11"/>
      <c r="G26" s="11"/>
      <c r="H26" s="11"/>
      <c r="I26" s="10"/>
      <c r="J26" s="73"/>
      <c r="K26" s="18"/>
    </row>
    <row r="27" spans="2:11" ht="17.5" customHeight="1" x14ac:dyDescent="0.4">
      <c r="B27" s="15"/>
      <c r="C27" s="13"/>
      <c r="D27" s="17"/>
      <c r="E27" s="11"/>
      <c r="F27" s="11"/>
      <c r="G27" s="11"/>
      <c r="H27" s="11"/>
      <c r="I27" s="10"/>
      <c r="J27" s="73"/>
      <c r="K27" s="18"/>
    </row>
    <row r="28" spans="2:11" ht="17.5" customHeight="1" x14ac:dyDescent="0.4">
      <c r="B28" s="15"/>
      <c r="C28" s="13"/>
      <c r="D28" s="17"/>
      <c r="E28" s="11"/>
      <c r="F28" s="11"/>
      <c r="G28" s="11"/>
      <c r="H28" s="11"/>
      <c r="I28" s="10"/>
      <c r="J28" s="73"/>
      <c r="K28" s="18"/>
    </row>
    <row r="29" spans="2:11" ht="17.5" customHeight="1" x14ac:dyDescent="0.4">
      <c r="B29" s="15"/>
      <c r="C29" s="13"/>
      <c r="D29" s="17"/>
      <c r="E29" s="11"/>
      <c r="F29" s="11"/>
      <c r="G29" s="11"/>
      <c r="H29" s="11"/>
      <c r="I29" s="10"/>
      <c r="J29" s="73"/>
      <c r="K29" s="18"/>
    </row>
    <row r="30" spans="2:11" ht="17.5" customHeight="1" x14ac:dyDescent="0.4">
      <c r="B30" s="15"/>
      <c r="C30" s="13"/>
      <c r="D30" s="17"/>
      <c r="E30" s="11"/>
      <c r="F30" s="11"/>
      <c r="G30" s="11"/>
      <c r="H30" s="11"/>
      <c r="I30" s="10"/>
      <c r="J30" s="73"/>
      <c r="K30" s="18"/>
    </row>
    <row r="31" spans="2:11" ht="17.5" customHeight="1" x14ac:dyDescent="0.4">
      <c r="B31" s="15"/>
      <c r="C31" s="13"/>
      <c r="D31" s="17"/>
      <c r="E31" s="11"/>
      <c r="F31" s="11"/>
      <c r="G31" s="11"/>
      <c r="H31" s="11"/>
      <c r="I31" s="10"/>
      <c r="J31" s="73"/>
      <c r="K31" s="18"/>
    </row>
    <row r="32" spans="2:11" ht="17.5" customHeight="1" x14ac:dyDescent="0.4">
      <c r="B32" s="15"/>
      <c r="C32" s="13"/>
      <c r="D32" s="17"/>
      <c r="E32" s="11"/>
      <c r="F32" s="11"/>
      <c r="G32" s="11"/>
      <c r="H32" s="11"/>
      <c r="I32" s="10"/>
      <c r="J32" s="73"/>
      <c r="K32" s="18"/>
    </row>
    <row r="33" spans="2:11" ht="17.5" customHeight="1" x14ac:dyDescent="0.4">
      <c r="B33" s="15"/>
      <c r="C33" s="13"/>
      <c r="D33" s="17"/>
      <c r="E33" s="11"/>
      <c r="F33" s="11"/>
      <c r="G33" s="11"/>
      <c r="H33" s="11"/>
      <c r="I33" s="10"/>
      <c r="J33" s="73"/>
      <c r="K33" s="18"/>
    </row>
    <row r="34" spans="2:11" ht="17.5" customHeight="1" x14ac:dyDescent="0.4">
      <c r="B34" s="15"/>
      <c r="C34" s="13"/>
      <c r="D34" s="17"/>
      <c r="E34" s="11"/>
      <c r="F34" s="11"/>
      <c r="G34" s="11"/>
      <c r="H34" s="11"/>
      <c r="I34" s="10"/>
      <c r="J34" s="73"/>
      <c r="K34" s="18"/>
    </row>
    <row r="35" spans="2:11" ht="17.5" customHeight="1" x14ac:dyDescent="0.4">
      <c r="B35" s="15"/>
      <c r="C35" s="13"/>
      <c r="D35" s="17"/>
      <c r="E35" s="11"/>
      <c r="F35" s="11"/>
      <c r="G35" s="11"/>
      <c r="H35" s="11"/>
      <c r="I35" s="10"/>
      <c r="J35" s="73"/>
      <c r="K35" s="18"/>
    </row>
    <row r="36" spans="2:11" ht="17.5" customHeight="1" x14ac:dyDescent="0.4">
      <c r="B36" s="15"/>
      <c r="C36" s="13"/>
      <c r="D36" s="17"/>
      <c r="E36" s="11"/>
      <c r="F36" s="11"/>
      <c r="G36" s="11"/>
      <c r="H36" s="11"/>
      <c r="I36" s="10"/>
      <c r="J36" s="73"/>
      <c r="K36" s="18"/>
    </row>
    <row r="37" spans="2:11" ht="17.5" customHeight="1" x14ac:dyDescent="0.4">
      <c r="B37" s="15"/>
      <c r="C37" s="13"/>
      <c r="D37" s="17"/>
      <c r="E37" s="11"/>
      <c r="F37" s="11"/>
      <c r="G37" s="11"/>
      <c r="H37" s="11"/>
      <c r="I37" s="10"/>
      <c r="J37" s="73"/>
      <c r="K37" s="18"/>
    </row>
    <row r="38" spans="2:11" ht="17.5" customHeight="1" x14ac:dyDescent="0.4">
      <c r="B38" s="15"/>
      <c r="C38" s="13"/>
      <c r="D38" s="17"/>
      <c r="E38" s="11"/>
      <c r="F38" s="11"/>
      <c r="G38" s="11"/>
      <c r="H38" s="11"/>
      <c r="I38" s="10"/>
      <c r="J38" s="73"/>
      <c r="K38" s="9"/>
    </row>
    <row r="39" spans="2:11" ht="17.5" customHeight="1" x14ac:dyDescent="0.4">
      <c r="B39" s="15"/>
      <c r="C39" s="13"/>
      <c r="D39" s="12"/>
      <c r="E39" s="16"/>
      <c r="F39" s="16"/>
      <c r="G39" s="16"/>
      <c r="H39" s="16"/>
      <c r="I39" s="10"/>
      <c r="J39" s="74"/>
      <c r="K39" s="9"/>
    </row>
    <row r="40" spans="2:11" ht="17.5" customHeight="1" x14ac:dyDescent="0.4">
      <c r="B40" s="15"/>
      <c r="C40" s="13"/>
      <c r="D40" s="12"/>
      <c r="E40" s="11"/>
      <c r="F40" s="11"/>
      <c r="G40" s="11"/>
      <c r="H40" s="11"/>
      <c r="I40" s="10"/>
      <c r="J40" s="74"/>
      <c r="K40" s="9"/>
    </row>
    <row r="41" spans="2:11" ht="17.5" customHeight="1" x14ac:dyDescent="0.4">
      <c r="B41" s="15"/>
      <c r="C41" s="13"/>
      <c r="D41" s="12"/>
      <c r="E41" s="11"/>
      <c r="F41" s="11"/>
      <c r="G41" s="11"/>
      <c r="H41" s="11"/>
      <c r="I41" s="10"/>
      <c r="J41" s="74"/>
      <c r="K41" s="9"/>
    </row>
    <row r="42" spans="2:11" ht="17.5" customHeight="1" x14ac:dyDescent="0.4">
      <c r="B42" s="14"/>
      <c r="C42" s="13"/>
      <c r="D42" s="12"/>
      <c r="E42" s="11"/>
      <c r="F42" s="11"/>
      <c r="G42" s="11"/>
      <c r="H42" s="11"/>
      <c r="I42" s="10"/>
      <c r="J42" s="74"/>
      <c r="K42" s="9"/>
    </row>
    <row r="43" spans="2:11" ht="17.5" customHeight="1" thickBot="1" x14ac:dyDescent="0.5">
      <c r="B43" s="8"/>
      <c r="C43" s="7"/>
      <c r="D43" s="6"/>
      <c r="E43" s="4"/>
      <c r="F43" s="5" t="s">
        <v>2</v>
      </c>
      <c r="G43" s="4"/>
      <c r="H43" s="4"/>
      <c r="I43" s="3"/>
      <c r="J43" s="2">
        <f>SUM(J18:J42)</f>
        <v>209</v>
      </c>
      <c r="K43" s="1"/>
    </row>
    <row r="44" spans="2:11" ht="18" customHeight="1" x14ac:dyDescent="0.4">
      <c r="B44" s="109"/>
      <c r="C44" s="109"/>
    </row>
    <row r="45" spans="2:11" ht="17.149999999999999" customHeight="1" x14ac:dyDescent="0.4">
      <c r="B45" s="101" t="s">
        <v>1</v>
      </c>
      <c r="C45" s="101"/>
      <c r="D45" s="101"/>
      <c r="E45" s="101"/>
      <c r="F45" s="101"/>
      <c r="G45" s="101"/>
      <c r="H45" s="101"/>
      <c r="I45" s="101"/>
      <c r="J45" s="101"/>
      <c r="K45" s="101"/>
    </row>
    <row r="46" spans="2:11" x14ac:dyDescent="0.4">
      <c r="B46" s="101" t="s">
        <v>0</v>
      </c>
      <c r="C46" s="101"/>
      <c r="D46" s="101"/>
      <c r="E46" s="101"/>
      <c r="F46" s="101"/>
      <c r="G46" s="101"/>
      <c r="H46" s="101"/>
      <c r="I46" s="101"/>
      <c r="J46" s="101"/>
      <c r="K46" s="101"/>
    </row>
    <row r="47" spans="2:11" x14ac:dyDescent="0.4">
      <c r="B47" s="106"/>
      <c r="C47" s="106"/>
    </row>
    <row r="48" spans="2:11" x14ac:dyDescent="0.4">
      <c r="B48" s="106"/>
      <c r="C48" s="106"/>
    </row>
    <row r="49" spans="2:3" x14ac:dyDescent="0.4">
      <c r="B49" s="106"/>
      <c r="C49" s="106"/>
    </row>
    <row r="118" spans="25:25" x14ac:dyDescent="0.4">
      <c r="Y118">
        <v>70</v>
      </c>
    </row>
  </sheetData>
  <mergeCells count="30">
    <mergeCell ref="X16:Y16"/>
    <mergeCell ref="B47:C47"/>
    <mergeCell ref="B48:C48"/>
    <mergeCell ref="B49:C49"/>
    <mergeCell ref="B17:C17"/>
    <mergeCell ref="E17:H17"/>
    <mergeCell ref="J17:K17"/>
    <mergeCell ref="B44:C44"/>
    <mergeCell ref="B45:K45"/>
    <mergeCell ref="B46:K46"/>
    <mergeCell ref="B14:E15"/>
    <mergeCell ref="F14:G15"/>
    <mergeCell ref="H14:J14"/>
    <mergeCell ref="B16:C16"/>
    <mergeCell ref="F16:G16"/>
    <mergeCell ref="B10:E11"/>
    <mergeCell ref="H11:K11"/>
    <mergeCell ref="B13:E13"/>
    <mergeCell ref="F13:G13"/>
    <mergeCell ref="H13:K13"/>
    <mergeCell ref="A6:E6"/>
    <mergeCell ref="F6:K6"/>
    <mergeCell ref="C8:E8"/>
    <mergeCell ref="B9:E9"/>
    <mergeCell ref="H9:K9"/>
    <mergeCell ref="A1:E1"/>
    <mergeCell ref="A2:E2"/>
    <mergeCell ref="F2:K2"/>
    <mergeCell ref="A3:E3"/>
    <mergeCell ref="F4:K5"/>
  </mergeCells>
  <pageMargins left="0" right="0" top="0" bottom="0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1E7B2-EB32-4935-905F-F7877D8D4E05}">
  <sheetPr codeName="referring_pysicians"/>
  <dimension ref="A1:A101"/>
  <sheetViews>
    <sheetView workbookViewId="0">
      <selection activeCell="F10" sqref="F10"/>
    </sheetView>
  </sheetViews>
  <sheetFormatPr defaultRowHeight="14.6" x14ac:dyDescent="0.4"/>
  <cols>
    <col min="1" max="1" width="31.69140625" customWidth="1"/>
  </cols>
  <sheetData>
    <row r="1" spans="1:1" ht="18.45" x14ac:dyDescent="0.5">
      <c r="A1" s="43" t="s">
        <v>21</v>
      </c>
    </row>
    <row r="2" spans="1:1" x14ac:dyDescent="0.4">
      <c r="A2" s="44" t="s">
        <v>11</v>
      </c>
    </row>
    <row r="3" spans="1:1" x14ac:dyDescent="0.4">
      <c r="A3" s="45" t="s">
        <v>22</v>
      </c>
    </row>
    <row r="4" spans="1:1" x14ac:dyDescent="0.4">
      <c r="A4" s="44" t="s">
        <v>23</v>
      </c>
    </row>
    <row r="5" spans="1:1" x14ac:dyDescent="0.4">
      <c r="A5" s="45" t="s">
        <v>24</v>
      </c>
    </row>
    <row r="6" spans="1:1" x14ac:dyDescent="0.4">
      <c r="A6" s="44" t="s">
        <v>25</v>
      </c>
    </row>
    <row r="7" spans="1:1" x14ac:dyDescent="0.4">
      <c r="A7" s="45" t="s">
        <v>26</v>
      </c>
    </row>
    <row r="8" spans="1:1" x14ac:dyDescent="0.4">
      <c r="A8" s="44" t="s">
        <v>27</v>
      </c>
    </row>
    <row r="9" spans="1:1" x14ac:dyDescent="0.4">
      <c r="A9" s="45" t="s">
        <v>28</v>
      </c>
    </row>
    <row r="10" spans="1:1" x14ac:dyDescent="0.4">
      <c r="A10" s="44" t="s">
        <v>29</v>
      </c>
    </row>
    <row r="11" spans="1:1" x14ac:dyDescent="0.4">
      <c r="A11" s="45" t="s">
        <v>30</v>
      </c>
    </row>
    <row r="12" spans="1:1" x14ac:dyDescent="0.4">
      <c r="A12" s="44" t="s">
        <v>31</v>
      </c>
    </row>
    <row r="13" spans="1:1" x14ac:dyDescent="0.4">
      <c r="A13" s="45" t="s">
        <v>32</v>
      </c>
    </row>
    <row r="14" spans="1:1" x14ac:dyDescent="0.4">
      <c r="A14" s="44" t="s">
        <v>33</v>
      </c>
    </row>
    <row r="15" spans="1:1" x14ac:dyDescent="0.4">
      <c r="A15" s="45" t="s">
        <v>34</v>
      </c>
    </row>
    <row r="16" spans="1:1" x14ac:dyDescent="0.4">
      <c r="A16" s="44" t="s">
        <v>35</v>
      </c>
    </row>
    <row r="17" spans="1:1" x14ac:dyDescent="0.4">
      <c r="A17" s="45" t="s">
        <v>36</v>
      </c>
    </row>
    <row r="18" spans="1:1" x14ac:dyDescent="0.4">
      <c r="A18" s="44" t="s">
        <v>37</v>
      </c>
    </row>
    <row r="19" spans="1:1" x14ac:dyDescent="0.4">
      <c r="A19" s="45" t="s">
        <v>38</v>
      </c>
    </row>
    <row r="20" spans="1:1" x14ac:dyDescent="0.4">
      <c r="A20" s="46" t="s">
        <v>39</v>
      </c>
    </row>
    <row r="21" spans="1:1" x14ac:dyDescent="0.4">
      <c r="A21" s="45" t="s">
        <v>40</v>
      </c>
    </row>
    <row r="22" spans="1:1" x14ac:dyDescent="0.4">
      <c r="A22" s="44" t="s">
        <v>41</v>
      </c>
    </row>
    <row r="23" spans="1:1" x14ac:dyDescent="0.4">
      <c r="A23" s="45" t="s">
        <v>42</v>
      </c>
    </row>
    <row r="24" spans="1:1" x14ac:dyDescent="0.4">
      <c r="A24" s="44" t="s">
        <v>43</v>
      </c>
    </row>
    <row r="25" spans="1:1" x14ac:dyDescent="0.4">
      <c r="A25" s="45" t="s">
        <v>44</v>
      </c>
    </row>
    <row r="26" spans="1:1" x14ac:dyDescent="0.4">
      <c r="A26" s="46" t="s">
        <v>45</v>
      </c>
    </row>
    <row r="27" spans="1:1" x14ac:dyDescent="0.4">
      <c r="A27" s="45" t="s">
        <v>46</v>
      </c>
    </row>
    <row r="28" spans="1:1" x14ac:dyDescent="0.4">
      <c r="A28" s="44" t="s">
        <v>47</v>
      </c>
    </row>
    <row r="29" spans="1:1" x14ac:dyDescent="0.4">
      <c r="A29" s="45" t="s">
        <v>48</v>
      </c>
    </row>
    <row r="30" spans="1:1" x14ac:dyDescent="0.4">
      <c r="A30" s="44" t="s">
        <v>49</v>
      </c>
    </row>
    <row r="31" spans="1:1" x14ac:dyDescent="0.4">
      <c r="A31" s="45" t="s">
        <v>50</v>
      </c>
    </row>
    <row r="32" spans="1:1" x14ac:dyDescent="0.4">
      <c r="A32" s="44" t="s">
        <v>51</v>
      </c>
    </row>
    <row r="33" spans="1:1" x14ac:dyDescent="0.4">
      <c r="A33" s="45" t="s">
        <v>52</v>
      </c>
    </row>
    <row r="34" spans="1:1" x14ac:dyDescent="0.4">
      <c r="A34" s="44" t="s">
        <v>53</v>
      </c>
    </row>
    <row r="35" spans="1:1" x14ac:dyDescent="0.4">
      <c r="A35" s="45" t="s">
        <v>54</v>
      </c>
    </row>
    <row r="36" spans="1:1" x14ac:dyDescent="0.4">
      <c r="A36" s="44" t="s">
        <v>55</v>
      </c>
    </row>
    <row r="37" spans="1:1" x14ac:dyDescent="0.4">
      <c r="A37" s="45" t="s">
        <v>56</v>
      </c>
    </row>
    <row r="38" spans="1:1" x14ac:dyDescent="0.4">
      <c r="A38" s="44" t="s">
        <v>57</v>
      </c>
    </row>
    <row r="39" spans="1:1" x14ac:dyDescent="0.4">
      <c r="A39" s="45" t="s">
        <v>58</v>
      </c>
    </row>
    <row r="40" spans="1:1" x14ac:dyDescent="0.4">
      <c r="A40" s="44" t="s">
        <v>59</v>
      </c>
    </row>
    <row r="41" spans="1:1" x14ac:dyDescent="0.4">
      <c r="A41" s="45" t="s">
        <v>60</v>
      </c>
    </row>
    <row r="42" spans="1:1" x14ac:dyDescent="0.4">
      <c r="A42" s="44" t="s">
        <v>61</v>
      </c>
    </row>
    <row r="43" spans="1:1" x14ac:dyDescent="0.4">
      <c r="A43" s="45" t="s">
        <v>62</v>
      </c>
    </row>
    <row r="44" spans="1:1" x14ac:dyDescent="0.4">
      <c r="A44" s="46" t="s">
        <v>63</v>
      </c>
    </row>
    <row r="45" spans="1:1" x14ac:dyDescent="0.4">
      <c r="A45" s="45" t="s">
        <v>64</v>
      </c>
    </row>
    <row r="46" spans="1:1" x14ac:dyDescent="0.4">
      <c r="A46" s="44" t="s">
        <v>65</v>
      </c>
    </row>
    <row r="47" spans="1:1" x14ac:dyDescent="0.4">
      <c r="A47" s="45" t="s">
        <v>66</v>
      </c>
    </row>
    <row r="48" spans="1:1" x14ac:dyDescent="0.4">
      <c r="A48" s="44" t="s">
        <v>67</v>
      </c>
    </row>
    <row r="49" spans="1:1" x14ac:dyDescent="0.4">
      <c r="A49" s="45" t="s">
        <v>68</v>
      </c>
    </row>
    <row r="50" spans="1:1" x14ac:dyDescent="0.4">
      <c r="A50" s="44" t="s">
        <v>69</v>
      </c>
    </row>
    <row r="51" spans="1:1" x14ac:dyDescent="0.4">
      <c r="A51" s="45" t="s">
        <v>70</v>
      </c>
    </row>
    <row r="52" spans="1:1" x14ac:dyDescent="0.4">
      <c r="A52" s="44" t="s">
        <v>71</v>
      </c>
    </row>
    <row r="53" spans="1:1" x14ac:dyDescent="0.4">
      <c r="A53" s="45" t="s">
        <v>72</v>
      </c>
    </row>
    <row r="54" spans="1:1" x14ac:dyDescent="0.4">
      <c r="A54" s="44" t="s">
        <v>73</v>
      </c>
    </row>
    <row r="55" spans="1:1" x14ac:dyDescent="0.4">
      <c r="A55" s="45" t="s">
        <v>74</v>
      </c>
    </row>
    <row r="56" spans="1:1" x14ac:dyDescent="0.4">
      <c r="A56" s="44" t="s">
        <v>75</v>
      </c>
    </row>
    <row r="57" spans="1:1" x14ac:dyDescent="0.4">
      <c r="A57" s="45" t="s">
        <v>76</v>
      </c>
    </row>
    <row r="58" spans="1:1" x14ac:dyDescent="0.4">
      <c r="A58" s="44" t="s">
        <v>77</v>
      </c>
    </row>
    <row r="59" spans="1:1" x14ac:dyDescent="0.4">
      <c r="A59" s="45" t="s">
        <v>78</v>
      </c>
    </row>
    <row r="60" spans="1:1" x14ac:dyDescent="0.4">
      <c r="A60" s="44" t="s">
        <v>79</v>
      </c>
    </row>
    <row r="61" spans="1:1" x14ac:dyDescent="0.4">
      <c r="A61" s="45" t="s">
        <v>80</v>
      </c>
    </row>
    <row r="62" spans="1:1" x14ac:dyDescent="0.4">
      <c r="A62" s="44" t="s">
        <v>81</v>
      </c>
    </row>
    <row r="63" spans="1:1" x14ac:dyDescent="0.4">
      <c r="A63" s="45" t="s">
        <v>82</v>
      </c>
    </row>
    <row r="64" spans="1:1" x14ac:dyDescent="0.4">
      <c r="A64" s="44" t="s">
        <v>83</v>
      </c>
    </row>
    <row r="65" spans="1:1" x14ac:dyDescent="0.4">
      <c r="A65" s="45" t="s">
        <v>84</v>
      </c>
    </row>
    <row r="66" spans="1:1" x14ac:dyDescent="0.4">
      <c r="A66" s="44" t="s">
        <v>85</v>
      </c>
    </row>
    <row r="67" spans="1:1" x14ac:dyDescent="0.4">
      <c r="A67" s="45" t="s">
        <v>86</v>
      </c>
    </row>
    <row r="68" spans="1:1" x14ac:dyDescent="0.4">
      <c r="A68" s="44" t="s">
        <v>87</v>
      </c>
    </row>
    <row r="69" spans="1:1" x14ac:dyDescent="0.4">
      <c r="A69" s="45" t="s">
        <v>88</v>
      </c>
    </row>
    <row r="70" spans="1:1" x14ac:dyDescent="0.4">
      <c r="A70" s="44" t="s">
        <v>89</v>
      </c>
    </row>
    <row r="71" spans="1:1" x14ac:dyDescent="0.4">
      <c r="A71" s="45" t="s">
        <v>90</v>
      </c>
    </row>
    <row r="72" spans="1:1" x14ac:dyDescent="0.4">
      <c r="A72" s="44" t="s">
        <v>91</v>
      </c>
    </row>
    <row r="73" spans="1:1" x14ac:dyDescent="0.4">
      <c r="A73" s="45" t="s">
        <v>92</v>
      </c>
    </row>
    <row r="74" spans="1:1" x14ac:dyDescent="0.4">
      <c r="A74" s="44" t="s">
        <v>93</v>
      </c>
    </row>
    <row r="75" spans="1:1" x14ac:dyDescent="0.4">
      <c r="A75" s="45" t="s">
        <v>94</v>
      </c>
    </row>
    <row r="76" spans="1:1" x14ac:dyDescent="0.4">
      <c r="A76" s="44" t="s">
        <v>95</v>
      </c>
    </row>
    <row r="77" spans="1:1" x14ac:dyDescent="0.4">
      <c r="A77" s="45" t="s">
        <v>96</v>
      </c>
    </row>
    <row r="78" spans="1:1" x14ac:dyDescent="0.4">
      <c r="A78" s="44" t="s">
        <v>97</v>
      </c>
    </row>
    <row r="79" spans="1:1" x14ac:dyDescent="0.4">
      <c r="A79" s="45" t="s">
        <v>98</v>
      </c>
    </row>
    <row r="80" spans="1:1" x14ac:dyDescent="0.4">
      <c r="A80" s="44" t="s">
        <v>99</v>
      </c>
    </row>
    <row r="81" spans="1:1" x14ac:dyDescent="0.4">
      <c r="A81" s="45" t="s">
        <v>100</v>
      </c>
    </row>
    <row r="82" spans="1:1" x14ac:dyDescent="0.4">
      <c r="A82" s="44" t="s">
        <v>101</v>
      </c>
    </row>
    <row r="83" spans="1:1" x14ac:dyDescent="0.4">
      <c r="A83" s="45" t="s">
        <v>102</v>
      </c>
    </row>
    <row r="84" spans="1:1" x14ac:dyDescent="0.4">
      <c r="A84" s="44" t="s">
        <v>103</v>
      </c>
    </row>
    <row r="85" spans="1:1" x14ac:dyDescent="0.4">
      <c r="A85" s="45" t="s">
        <v>104</v>
      </c>
    </row>
    <row r="86" spans="1:1" x14ac:dyDescent="0.4">
      <c r="A86" s="44" t="s">
        <v>105</v>
      </c>
    </row>
    <row r="87" spans="1:1" x14ac:dyDescent="0.4">
      <c r="A87" s="45" t="s">
        <v>106</v>
      </c>
    </row>
    <row r="88" spans="1:1" x14ac:dyDescent="0.4">
      <c r="A88" s="44" t="s">
        <v>107</v>
      </c>
    </row>
    <row r="89" spans="1:1" x14ac:dyDescent="0.4">
      <c r="A89" s="45" t="s">
        <v>108</v>
      </c>
    </row>
    <row r="90" spans="1:1" x14ac:dyDescent="0.4">
      <c r="A90" s="44" t="s">
        <v>109</v>
      </c>
    </row>
    <row r="91" spans="1:1" x14ac:dyDescent="0.4">
      <c r="A91" s="45" t="s">
        <v>110</v>
      </c>
    </row>
    <row r="92" spans="1:1" x14ac:dyDescent="0.4">
      <c r="A92" s="44" t="s">
        <v>111</v>
      </c>
    </row>
    <row r="93" spans="1:1" x14ac:dyDescent="0.4">
      <c r="A93" s="45" t="s">
        <v>112</v>
      </c>
    </row>
    <row r="94" spans="1:1" x14ac:dyDescent="0.4">
      <c r="A94" s="44" t="s">
        <v>113</v>
      </c>
    </row>
    <row r="95" spans="1:1" x14ac:dyDescent="0.4">
      <c r="A95" s="45" t="s">
        <v>114</v>
      </c>
    </row>
    <row r="96" spans="1:1" x14ac:dyDescent="0.4">
      <c r="A96" s="44" t="s">
        <v>115</v>
      </c>
    </row>
    <row r="97" spans="1:1" x14ac:dyDescent="0.4">
      <c r="A97" s="45" t="s">
        <v>116</v>
      </c>
    </row>
    <row r="98" spans="1:1" x14ac:dyDescent="0.4">
      <c r="A98" s="44" t="s">
        <v>117</v>
      </c>
    </row>
    <row r="99" spans="1:1" x14ac:dyDescent="0.4">
      <c r="A99" s="45" t="s">
        <v>118</v>
      </c>
    </row>
    <row r="100" spans="1:1" x14ac:dyDescent="0.4">
      <c r="A100" s="44" t="s">
        <v>119</v>
      </c>
    </row>
    <row r="101" spans="1:1" x14ac:dyDescent="0.4">
      <c r="A101" s="45" t="s">
        <v>120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83389-57C9-455E-8672-B75C48934480}">
  <sheetPr codeName="diagnosis_codes"/>
  <dimension ref="A1:A10"/>
  <sheetViews>
    <sheetView workbookViewId="0">
      <selection activeCell="G9" sqref="G9"/>
    </sheetView>
  </sheetViews>
  <sheetFormatPr defaultRowHeight="14.6" x14ac:dyDescent="0.4"/>
  <cols>
    <col min="1" max="1" width="29" customWidth="1"/>
  </cols>
  <sheetData>
    <row r="1" spans="1:1" ht="18.45" x14ac:dyDescent="0.5">
      <c r="A1" s="55" t="s">
        <v>133</v>
      </c>
    </row>
    <row r="2" spans="1:1" x14ac:dyDescent="0.4">
      <c r="A2" s="56" t="s">
        <v>134</v>
      </c>
    </row>
    <row r="3" spans="1:1" x14ac:dyDescent="0.4">
      <c r="A3" s="47" t="s">
        <v>135</v>
      </c>
    </row>
    <row r="4" spans="1:1" x14ac:dyDescent="0.4">
      <c r="A4" s="57" t="s">
        <v>16</v>
      </c>
    </row>
    <row r="5" spans="1:1" x14ac:dyDescent="0.4">
      <c r="A5" s="47" t="s">
        <v>136</v>
      </c>
    </row>
    <row r="6" spans="1:1" x14ac:dyDescent="0.4">
      <c r="A6" s="57" t="s">
        <v>137</v>
      </c>
    </row>
    <row r="7" spans="1:1" x14ac:dyDescent="0.4">
      <c r="A7" s="47" t="s">
        <v>138</v>
      </c>
    </row>
    <row r="8" spans="1:1" x14ac:dyDescent="0.4">
      <c r="A8" s="57" t="s">
        <v>139</v>
      </c>
    </row>
    <row r="9" spans="1:1" x14ac:dyDescent="0.4">
      <c r="A9" s="47" t="s">
        <v>140</v>
      </c>
    </row>
    <row r="10" spans="1:1" x14ac:dyDescent="0.4">
      <c r="A10" s="57" t="s">
        <v>141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16B43-123D-4045-8D62-28BD25C50379}">
  <sheetPr codeName="premium_materials"/>
  <dimension ref="A1:Q6"/>
  <sheetViews>
    <sheetView workbookViewId="0">
      <selection activeCell="F33" sqref="F33"/>
    </sheetView>
  </sheetViews>
  <sheetFormatPr defaultRowHeight="14.6" x14ac:dyDescent="0.4"/>
  <cols>
    <col min="1" max="1" width="10" customWidth="1"/>
    <col min="2" max="2" width="24.23046875" customWidth="1"/>
    <col min="6" max="6" width="30.3828125" customWidth="1"/>
    <col min="12" max="13" width="9.23046875" customWidth="1"/>
    <col min="16" max="16" width="15.53515625" customWidth="1"/>
    <col min="17" max="17" width="17.61328125" customWidth="1"/>
  </cols>
  <sheetData>
    <row r="1" spans="1:17" ht="18.45" x14ac:dyDescent="0.5">
      <c r="A1" s="43" t="s">
        <v>121</v>
      </c>
      <c r="B1" s="43" t="s">
        <v>5</v>
      </c>
      <c r="C1" s="43" t="s">
        <v>122</v>
      </c>
      <c r="E1" s="48" t="s">
        <v>121</v>
      </c>
      <c r="F1" s="48" t="s">
        <v>5</v>
      </c>
      <c r="G1" s="48" t="s">
        <v>122</v>
      </c>
      <c r="L1" s="49" t="s">
        <v>121</v>
      </c>
      <c r="M1" s="49" t="s">
        <v>5</v>
      </c>
      <c r="N1" s="49" t="s">
        <v>122</v>
      </c>
      <c r="P1" s="110" t="s">
        <v>245</v>
      </c>
      <c r="Q1" s="111"/>
    </row>
    <row r="2" spans="1:17" ht="18.45" x14ac:dyDescent="0.5">
      <c r="A2" s="44" t="s">
        <v>123</v>
      </c>
      <c r="B2" s="50" t="s">
        <v>124</v>
      </c>
      <c r="C2" s="44">
        <v>30</v>
      </c>
      <c r="E2" s="51" t="s">
        <v>125</v>
      </c>
      <c r="F2" s="51" t="s">
        <v>126</v>
      </c>
      <c r="G2" s="51">
        <v>140</v>
      </c>
      <c r="L2" s="52" t="s">
        <v>127</v>
      </c>
      <c r="M2" s="52" t="s">
        <v>128</v>
      </c>
      <c r="N2" s="62"/>
      <c r="P2" s="63" t="s">
        <v>243</v>
      </c>
      <c r="Q2" s="64" t="s">
        <v>122</v>
      </c>
    </row>
    <row r="3" spans="1:17" x14ac:dyDescent="0.4">
      <c r="A3" s="45">
        <v>2783</v>
      </c>
      <c r="B3" s="53" t="s">
        <v>129</v>
      </c>
      <c r="C3" s="45">
        <v>80</v>
      </c>
      <c r="E3" s="54" t="s">
        <v>125</v>
      </c>
      <c r="F3" s="54" t="s">
        <v>130</v>
      </c>
      <c r="G3" s="54">
        <v>199.5</v>
      </c>
      <c r="P3" s="65" t="s">
        <v>240</v>
      </c>
      <c r="Q3" s="66">
        <v>55</v>
      </c>
    </row>
    <row r="4" spans="1:17" x14ac:dyDescent="0.4">
      <c r="A4" s="44">
        <v>2782</v>
      </c>
      <c r="B4" s="50" t="s">
        <v>131</v>
      </c>
      <c r="C4" s="44">
        <v>60</v>
      </c>
      <c r="E4" s="51" t="s">
        <v>125</v>
      </c>
      <c r="F4" s="51" t="s">
        <v>132</v>
      </c>
      <c r="G4" s="51">
        <v>249.5</v>
      </c>
      <c r="P4" s="65" t="s">
        <v>241</v>
      </c>
      <c r="Q4" s="66">
        <v>70</v>
      </c>
    </row>
    <row r="5" spans="1:17" x14ac:dyDescent="0.4">
      <c r="P5" s="65" t="s">
        <v>242</v>
      </c>
      <c r="Q5" s="66">
        <v>80</v>
      </c>
    </row>
    <row r="6" spans="1:17" x14ac:dyDescent="0.4">
      <c r="P6" s="67" t="s">
        <v>244</v>
      </c>
      <c r="Q6" s="68">
        <v>99</v>
      </c>
    </row>
  </sheetData>
  <mergeCells count="1">
    <mergeCell ref="P1:Q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D1537-3933-4967-BC17-58768EAAF0C2}">
  <sheetPr codeName="covered_materials"/>
  <dimension ref="A1:J49"/>
  <sheetViews>
    <sheetView workbookViewId="0">
      <selection activeCell="F7" sqref="F7"/>
    </sheetView>
  </sheetViews>
  <sheetFormatPr defaultRowHeight="14.6" x14ac:dyDescent="0.4"/>
  <cols>
    <col min="1" max="1" width="9.84375" customWidth="1"/>
    <col min="2" max="2" width="28.69140625" customWidth="1"/>
    <col min="4" max="4" width="3.921875" customWidth="1"/>
    <col min="6" max="6" width="19.3046875" customWidth="1"/>
    <col min="8" max="8" width="4.07421875" customWidth="1"/>
    <col min="9" max="9" width="24.69140625" customWidth="1"/>
    <col min="10" max="10" width="7.23046875" customWidth="1"/>
  </cols>
  <sheetData>
    <row r="1" spans="1:10" ht="18.45" x14ac:dyDescent="0.5">
      <c r="A1" s="55" t="s">
        <v>121</v>
      </c>
      <c r="B1" s="55" t="s">
        <v>5</v>
      </c>
      <c r="C1" s="43" t="s">
        <v>122</v>
      </c>
      <c r="E1" s="60" t="s">
        <v>121</v>
      </c>
      <c r="F1" s="60" t="s">
        <v>5</v>
      </c>
      <c r="G1" s="60" t="s">
        <v>122</v>
      </c>
      <c r="I1" s="110" t="s">
        <v>246</v>
      </c>
      <c r="J1" s="111"/>
    </row>
    <row r="2" spans="1:10" ht="18.45" x14ac:dyDescent="0.5">
      <c r="A2" s="58" t="s">
        <v>142</v>
      </c>
      <c r="B2" s="58" t="s">
        <v>143</v>
      </c>
      <c r="C2" s="44">
        <f>J3</f>
        <v>55</v>
      </c>
      <c r="E2" s="61" t="s">
        <v>238</v>
      </c>
      <c r="F2" s="61" t="s">
        <v>239</v>
      </c>
      <c r="G2" s="51">
        <f>J6</f>
        <v>99</v>
      </c>
      <c r="I2" s="63" t="s">
        <v>243</v>
      </c>
      <c r="J2" s="69" t="s">
        <v>122</v>
      </c>
    </row>
    <row r="3" spans="1:10" x14ac:dyDescent="0.4">
      <c r="A3" s="59" t="s">
        <v>144</v>
      </c>
      <c r="B3" s="59" t="s">
        <v>145</v>
      </c>
      <c r="C3" s="45">
        <f>J3</f>
        <v>55</v>
      </c>
      <c r="I3" s="65" t="s">
        <v>240</v>
      </c>
      <c r="J3" s="70">
        <v>55</v>
      </c>
    </row>
    <row r="4" spans="1:10" x14ac:dyDescent="0.4">
      <c r="A4" s="58" t="s">
        <v>146</v>
      </c>
      <c r="B4" s="58" t="s">
        <v>147</v>
      </c>
      <c r="C4" s="44">
        <f>J3</f>
        <v>55</v>
      </c>
      <c r="I4" s="65" t="s">
        <v>241</v>
      </c>
      <c r="J4" s="70">
        <v>70</v>
      </c>
    </row>
    <row r="5" spans="1:10" x14ac:dyDescent="0.4">
      <c r="A5" s="59" t="s">
        <v>148</v>
      </c>
      <c r="B5" s="59" t="s">
        <v>149</v>
      </c>
      <c r="C5" s="45">
        <f>J3</f>
        <v>55</v>
      </c>
      <c r="I5" s="65" t="s">
        <v>242</v>
      </c>
      <c r="J5" s="70">
        <v>80</v>
      </c>
    </row>
    <row r="6" spans="1:10" x14ac:dyDescent="0.4">
      <c r="A6" s="58" t="s">
        <v>150</v>
      </c>
      <c r="B6" s="58" t="s">
        <v>151</v>
      </c>
      <c r="C6" s="44">
        <f>J3</f>
        <v>55</v>
      </c>
      <c r="I6" s="67" t="s">
        <v>244</v>
      </c>
      <c r="J6" s="71">
        <v>99</v>
      </c>
    </row>
    <row r="7" spans="1:10" x14ac:dyDescent="0.4">
      <c r="A7" s="59" t="s">
        <v>152</v>
      </c>
      <c r="B7" s="59" t="s">
        <v>153</v>
      </c>
      <c r="C7" s="45">
        <f>J3</f>
        <v>55</v>
      </c>
    </row>
    <row r="8" spans="1:10" x14ac:dyDescent="0.4">
      <c r="A8" s="58" t="s">
        <v>154</v>
      </c>
      <c r="B8" s="58" t="s">
        <v>155</v>
      </c>
      <c r="C8" s="44">
        <f>J3</f>
        <v>55</v>
      </c>
    </row>
    <row r="9" spans="1:10" x14ac:dyDescent="0.4">
      <c r="A9" s="59" t="s">
        <v>156</v>
      </c>
      <c r="B9" s="59" t="s">
        <v>157</v>
      </c>
      <c r="C9" s="45">
        <f>J3</f>
        <v>55</v>
      </c>
    </row>
    <row r="10" spans="1:10" x14ac:dyDescent="0.4">
      <c r="A10" s="58" t="s">
        <v>158</v>
      </c>
      <c r="B10" s="58" t="s">
        <v>159</v>
      </c>
      <c r="C10" s="44">
        <f>J3</f>
        <v>55</v>
      </c>
    </row>
    <row r="11" spans="1:10" x14ac:dyDescent="0.4">
      <c r="A11" s="59" t="s">
        <v>160</v>
      </c>
      <c r="B11" s="59" t="s">
        <v>161</v>
      </c>
      <c r="C11" s="45">
        <f>J3</f>
        <v>55</v>
      </c>
    </row>
    <row r="12" spans="1:10" x14ac:dyDescent="0.4">
      <c r="A12" s="58" t="s">
        <v>162</v>
      </c>
      <c r="B12" s="58" t="s">
        <v>163</v>
      </c>
      <c r="C12" s="44">
        <f>J3</f>
        <v>55</v>
      </c>
    </row>
    <row r="13" spans="1:10" x14ac:dyDescent="0.4">
      <c r="A13" s="59" t="s">
        <v>164</v>
      </c>
      <c r="B13" s="59" t="s">
        <v>165</v>
      </c>
      <c r="C13" s="45">
        <f>J3</f>
        <v>55</v>
      </c>
    </row>
    <row r="14" spans="1:10" x14ac:dyDescent="0.4">
      <c r="A14" s="58" t="s">
        <v>166</v>
      </c>
      <c r="B14" s="58" t="s">
        <v>167</v>
      </c>
      <c r="C14" s="44">
        <f>J3</f>
        <v>55</v>
      </c>
    </row>
    <row r="15" spans="1:10" x14ac:dyDescent="0.4">
      <c r="A15" s="59" t="s">
        <v>168</v>
      </c>
      <c r="B15" s="59" t="s">
        <v>169</v>
      </c>
      <c r="C15" s="45">
        <f>J3</f>
        <v>55</v>
      </c>
    </row>
    <row r="16" spans="1:10" x14ac:dyDescent="0.4">
      <c r="A16" s="58" t="s">
        <v>170</v>
      </c>
      <c r="B16" s="58" t="s">
        <v>171</v>
      </c>
      <c r="C16" s="44">
        <f>J3</f>
        <v>55</v>
      </c>
    </row>
    <row r="17" spans="1:3" x14ac:dyDescent="0.4">
      <c r="A17" s="59" t="s">
        <v>172</v>
      </c>
      <c r="B17" s="59" t="s">
        <v>173</v>
      </c>
      <c r="C17" s="45">
        <f>J3</f>
        <v>55</v>
      </c>
    </row>
    <row r="18" spans="1:3" x14ac:dyDescent="0.4">
      <c r="A18" s="58" t="s">
        <v>174</v>
      </c>
      <c r="B18" s="58" t="s">
        <v>175</v>
      </c>
      <c r="C18" s="44">
        <f>J4</f>
        <v>70</v>
      </c>
    </row>
    <row r="19" spans="1:3" x14ac:dyDescent="0.4">
      <c r="A19" s="59" t="s">
        <v>176</v>
      </c>
      <c r="B19" s="59" t="s">
        <v>177</v>
      </c>
      <c r="C19" s="45">
        <f>J4</f>
        <v>70</v>
      </c>
    </row>
    <row r="20" spans="1:3" x14ac:dyDescent="0.4">
      <c r="A20" s="58" t="s">
        <v>178</v>
      </c>
      <c r="B20" s="58" t="s">
        <v>179</v>
      </c>
      <c r="C20" s="44">
        <f>J4</f>
        <v>70</v>
      </c>
    </row>
    <row r="21" spans="1:3" x14ac:dyDescent="0.4">
      <c r="A21" s="59" t="s">
        <v>180</v>
      </c>
      <c r="B21" s="59" t="s">
        <v>181</v>
      </c>
      <c r="C21" s="45">
        <f>J4</f>
        <v>70</v>
      </c>
    </row>
    <row r="22" spans="1:3" x14ac:dyDescent="0.4">
      <c r="A22" s="58" t="s">
        <v>182</v>
      </c>
      <c r="B22" s="58" t="s">
        <v>183</v>
      </c>
      <c r="C22" s="44">
        <f>J4</f>
        <v>70</v>
      </c>
    </row>
    <row r="23" spans="1:3" x14ac:dyDescent="0.4">
      <c r="A23" s="59" t="s">
        <v>184</v>
      </c>
      <c r="B23" s="59" t="s">
        <v>185</v>
      </c>
      <c r="C23" s="45">
        <f>J4</f>
        <v>70</v>
      </c>
    </row>
    <row r="24" spans="1:3" x14ac:dyDescent="0.4">
      <c r="A24" s="58" t="s">
        <v>186</v>
      </c>
      <c r="B24" s="58" t="s">
        <v>187</v>
      </c>
      <c r="C24" s="44">
        <f>J4</f>
        <v>70</v>
      </c>
    </row>
    <row r="25" spans="1:3" x14ac:dyDescent="0.4">
      <c r="A25" s="59" t="s">
        <v>188</v>
      </c>
      <c r="B25" s="59" t="s">
        <v>189</v>
      </c>
      <c r="C25" s="45">
        <f>J4</f>
        <v>70</v>
      </c>
    </row>
    <row r="26" spans="1:3" x14ac:dyDescent="0.4">
      <c r="A26" s="58" t="s">
        <v>190</v>
      </c>
      <c r="B26" s="58" t="s">
        <v>191</v>
      </c>
      <c r="C26" s="44">
        <f>J4</f>
        <v>70</v>
      </c>
    </row>
    <row r="27" spans="1:3" x14ac:dyDescent="0.4">
      <c r="A27" s="59" t="s">
        <v>192</v>
      </c>
      <c r="B27" s="59" t="s">
        <v>193</v>
      </c>
      <c r="C27" s="45">
        <f>J4</f>
        <v>70</v>
      </c>
    </row>
    <row r="28" spans="1:3" x14ac:dyDescent="0.4">
      <c r="A28" s="58" t="s">
        <v>194</v>
      </c>
      <c r="B28" s="58" t="s">
        <v>195</v>
      </c>
      <c r="C28" s="44">
        <f>J4</f>
        <v>70</v>
      </c>
    </row>
    <row r="29" spans="1:3" x14ac:dyDescent="0.4">
      <c r="A29" s="59" t="s">
        <v>196</v>
      </c>
      <c r="B29" s="59" t="s">
        <v>197</v>
      </c>
      <c r="C29" s="45">
        <f>J4</f>
        <v>70</v>
      </c>
    </row>
    <row r="30" spans="1:3" x14ac:dyDescent="0.4">
      <c r="A30" s="58" t="s">
        <v>198</v>
      </c>
      <c r="B30" s="58" t="s">
        <v>199</v>
      </c>
      <c r="C30" s="44">
        <f>J4</f>
        <v>70</v>
      </c>
    </row>
    <row r="31" spans="1:3" x14ac:dyDescent="0.4">
      <c r="A31" s="59" t="s">
        <v>200</v>
      </c>
      <c r="B31" s="59" t="s">
        <v>201</v>
      </c>
      <c r="C31" s="45">
        <f>J4</f>
        <v>70</v>
      </c>
    </row>
    <row r="32" spans="1:3" x14ac:dyDescent="0.4">
      <c r="A32" s="58" t="s">
        <v>202</v>
      </c>
      <c r="B32" s="58" t="s">
        <v>203</v>
      </c>
      <c r="C32" s="44">
        <f>J4</f>
        <v>70</v>
      </c>
    </row>
    <row r="33" spans="1:3" x14ac:dyDescent="0.4">
      <c r="A33" s="59" t="s">
        <v>204</v>
      </c>
      <c r="B33" s="59" t="s">
        <v>205</v>
      </c>
      <c r="C33" s="45">
        <f>J4</f>
        <v>70</v>
      </c>
    </row>
    <row r="34" spans="1:3" x14ac:dyDescent="0.4">
      <c r="A34" s="58" t="s">
        <v>206</v>
      </c>
      <c r="B34" s="58" t="s">
        <v>207</v>
      </c>
      <c r="C34" s="44">
        <f>J4</f>
        <v>70</v>
      </c>
    </row>
    <row r="35" spans="1:3" x14ac:dyDescent="0.4">
      <c r="A35" s="59" t="s">
        <v>208</v>
      </c>
      <c r="B35" s="59" t="s">
        <v>209</v>
      </c>
      <c r="C35" s="45">
        <f>J5</f>
        <v>80</v>
      </c>
    </row>
    <row r="36" spans="1:3" x14ac:dyDescent="0.4">
      <c r="A36" s="58" t="s">
        <v>210</v>
      </c>
      <c r="B36" s="58" t="s">
        <v>211</v>
      </c>
      <c r="C36" s="44">
        <f>J5</f>
        <v>80</v>
      </c>
    </row>
    <row r="37" spans="1:3" x14ac:dyDescent="0.4">
      <c r="A37" s="59" t="s">
        <v>212</v>
      </c>
      <c r="B37" s="59" t="s">
        <v>213</v>
      </c>
      <c r="C37" s="45">
        <f>J5</f>
        <v>80</v>
      </c>
    </row>
    <row r="38" spans="1:3" x14ac:dyDescent="0.4">
      <c r="A38" s="58" t="s">
        <v>214</v>
      </c>
      <c r="B38" s="58" t="s">
        <v>215</v>
      </c>
      <c r="C38" s="44">
        <f>J5</f>
        <v>80</v>
      </c>
    </row>
    <row r="39" spans="1:3" x14ac:dyDescent="0.4">
      <c r="A39" s="59" t="s">
        <v>216</v>
      </c>
      <c r="B39" s="59" t="s">
        <v>217</v>
      </c>
      <c r="C39" s="45">
        <f>J5</f>
        <v>80</v>
      </c>
    </row>
    <row r="40" spans="1:3" x14ac:dyDescent="0.4">
      <c r="A40" s="58" t="s">
        <v>218</v>
      </c>
      <c r="B40" s="58" t="s">
        <v>219</v>
      </c>
      <c r="C40" s="44">
        <f>J5</f>
        <v>80</v>
      </c>
    </row>
    <row r="41" spans="1:3" x14ac:dyDescent="0.4">
      <c r="A41" s="59" t="s">
        <v>220</v>
      </c>
      <c r="B41" s="59" t="s">
        <v>221</v>
      </c>
      <c r="C41" s="45">
        <f>J5</f>
        <v>80</v>
      </c>
    </row>
    <row r="42" spans="1:3" x14ac:dyDescent="0.4">
      <c r="A42" s="58" t="s">
        <v>222</v>
      </c>
      <c r="B42" s="58" t="s">
        <v>223</v>
      </c>
      <c r="C42" s="44">
        <f>J5</f>
        <v>80</v>
      </c>
    </row>
    <row r="43" spans="1:3" x14ac:dyDescent="0.4">
      <c r="A43" s="59" t="s">
        <v>224</v>
      </c>
      <c r="B43" s="59" t="s">
        <v>225</v>
      </c>
      <c r="C43" s="45">
        <f>J5</f>
        <v>80</v>
      </c>
    </row>
    <row r="44" spans="1:3" x14ac:dyDescent="0.4">
      <c r="A44" s="58" t="s">
        <v>226</v>
      </c>
      <c r="B44" s="58" t="s">
        <v>227</v>
      </c>
      <c r="C44" s="44">
        <f>J5</f>
        <v>80</v>
      </c>
    </row>
    <row r="45" spans="1:3" x14ac:dyDescent="0.4">
      <c r="A45" s="59" t="s">
        <v>228</v>
      </c>
      <c r="B45" s="59" t="s">
        <v>229</v>
      </c>
      <c r="C45" s="45">
        <f>J5</f>
        <v>80</v>
      </c>
    </row>
    <row r="46" spans="1:3" x14ac:dyDescent="0.4">
      <c r="A46" s="58" t="s">
        <v>230</v>
      </c>
      <c r="B46" s="58" t="s">
        <v>231</v>
      </c>
      <c r="C46" s="44">
        <f>J5</f>
        <v>80</v>
      </c>
    </row>
    <row r="47" spans="1:3" x14ac:dyDescent="0.4">
      <c r="A47" s="59" t="s">
        <v>232</v>
      </c>
      <c r="B47" s="59" t="s">
        <v>233</v>
      </c>
      <c r="C47" s="45">
        <f>J5</f>
        <v>80</v>
      </c>
    </row>
    <row r="48" spans="1:3" x14ac:dyDescent="0.4">
      <c r="A48" s="58" t="s">
        <v>234</v>
      </c>
      <c r="B48" s="58" t="s">
        <v>235</v>
      </c>
      <c r="C48" s="44">
        <f>J5</f>
        <v>80</v>
      </c>
    </row>
    <row r="49" spans="1:3" x14ac:dyDescent="0.4">
      <c r="A49" s="59" t="s">
        <v>236</v>
      </c>
      <c r="B49" s="59" t="s">
        <v>237</v>
      </c>
      <c r="C49" s="45">
        <f>J5</f>
        <v>80</v>
      </c>
    </row>
  </sheetData>
  <mergeCells count="1">
    <mergeCell ref="I1:J1"/>
  </mergeCell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charge_ticket</vt:lpstr>
      <vt:lpstr>referring_physicians</vt:lpstr>
      <vt:lpstr>diagnosis_codes</vt:lpstr>
      <vt:lpstr>premium_materials</vt:lpstr>
      <vt:lpstr>covered_materials</vt:lpstr>
      <vt:lpstr>charge_ticket!Print_Area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williamson</dc:creator>
  <cp:lastModifiedBy>eric williamson</cp:lastModifiedBy>
  <cp:lastPrinted>2022-05-06T20:48:29Z</cp:lastPrinted>
  <dcterms:created xsi:type="dcterms:W3CDTF">2022-05-04T07:09:17Z</dcterms:created>
  <dcterms:modified xsi:type="dcterms:W3CDTF">2022-05-06T20:52:35Z</dcterms:modified>
</cp:coreProperties>
</file>